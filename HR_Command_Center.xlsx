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0eab614f7e5e331/Desktop/New folder/project work/"/>
    </mc:Choice>
  </mc:AlternateContent>
  <xr:revisionPtr revIDLastSave="19" documentId="13_ncr:1_{9C55D10A-1884-479C-A102-13C3270B4718}" xr6:coauthVersionLast="47" xr6:coauthVersionMax="47" xr10:uidLastSave="{D89E4620-522F-4D49-AAD0-911633687911}"/>
  <bookViews>
    <workbookView xWindow="-108" yWindow="-108" windowWidth="23256" windowHeight="12456" tabRatio="500" firstSheet="4" activeTab="5" xr2:uid="{00000000-000D-0000-FFFF-FFFF00000000}"/>
  </bookViews>
  <sheets>
    <sheet name="README" sheetId="1" r:id="rId1"/>
    <sheet name="Master_Candidates" sheetId="2" r:id="rId2"/>
    <sheet name="Interview_Tracker" sheetId="3" r:id="rId3"/>
    <sheet name="Compliance_Documents" sheetId="4" r:id="rId4"/>
    <sheet name="Onboarding_Progress" sheetId="5" r:id="rId5"/>
    <sheet name="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6" l="1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7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9" i="6"/>
  <c r="F7" i="6"/>
  <c r="F9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C18" i="6"/>
  <c r="C8" i="6"/>
  <c r="C9" i="6"/>
  <c r="C10" i="6"/>
  <c r="C11" i="6"/>
  <c r="C12" i="6"/>
  <c r="C13" i="6"/>
  <c r="C14" i="6"/>
  <c r="C15" i="6"/>
  <c r="C16" i="6"/>
  <c r="C17" i="6"/>
  <c r="C19" i="6"/>
  <c r="C20" i="6"/>
  <c r="C21" i="6"/>
  <c r="C22" i="6"/>
  <c r="C23" i="6"/>
  <c r="C24" i="6"/>
  <c r="C7" i="6"/>
  <c r="B19" i="6"/>
  <c r="B8" i="6"/>
  <c r="B9" i="6"/>
  <c r="B10" i="6"/>
  <c r="B11" i="6"/>
  <c r="B12" i="6"/>
  <c r="B13" i="6"/>
  <c r="B14" i="6"/>
  <c r="B15" i="6"/>
  <c r="B16" i="6"/>
  <c r="B17" i="6"/>
  <c r="B18" i="6"/>
  <c r="B20" i="6"/>
  <c r="B21" i="6"/>
  <c r="B22" i="6"/>
  <c r="B23" i="6"/>
  <c r="B24" i="6"/>
  <c r="B7" i="6"/>
  <c r="C4" i="6"/>
  <c r="G8" i="6"/>
  <c r="G2" i="4"/>
  <c r="G3" i="4"/>
  <c r="G4" i="4"/>
  <c r="G5" i="4"/>
  <c r="G6" i="4"/>
  <c r="G7" i="4"/>
  <c r="G8" i="4"/>
  <c r="G9" i="4"/>
  <c r="G10" i="4"/>
  <c r="G11" i="4"/>
  <c r="G12" i="4"/>
  <c r="C2" i="4"/>
  <c r="C3" i="4"/>
  <c r="C4" i="4"/>
  <c r="C5" i="4"/>
  <c r="C6" i="4"/>
  <c r="C7" i="4"/>
  <c r="C8" i="4"/>
  <c r="C9" i="4"/>
  <c r="C10" i="4"/>
  <c r="C11" i="4"/>
  <c r="C12" i="4"/>
  <c r="B2" i="4"/>
  <c r="B3" i="4"/>
  <c r="B4" i="4"/>
  <c r="B5" i="4"/>
  <c r="B6" i="4"/>
  <c r="B7" i="4"/>
  <c r="B8" i="4"/>
  <c r="B9" i="4"/>
  <c r="B10" i="4"/>
  <c r="B11" i="4"/>
  <c r="B12" i="4"/>
  <c r="E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" i="3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8" i="6"/>
  <c r="G7" i="6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5" i="6" l="1"/>
  <c r="G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200-000001000000}">
      <text>
        <r>
          <rPr>
            <sz val="10"/>
            <rFont val="Arial"/>
            <family val="2"/>
          </rPr>
          <t>VLOOKUP(lookup_value, table_array, col_index, FALSE) — works here because Position Applied is to the RIGHT of Candidate ID in Master_Candidates. This is the classic VLOOKUP limitation: it cannot look left.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300-000001000000}">
      <text>
        <r>
          <rPr>
            <sz val="10"/>
            <rFont val="Arial"/>
            <family val="2"/>
          </rPr>
          <t>INDEX/MATCH is the XLOOKUP-equivalent used throughout this workbook. Syntax: INDEX(return_range, MATCH(lookup_value, lookup_range, 0)). Wrapped in IFERROR so a missing Candidate ID shows 'Candidate Not Found' instead of #N/A — exactly what XLOOKUP's built-in 'if_not_found' argument does. In current Excel this can be written as: =XLOOKUP(A2, Master_Candidates!A:A, Master_Candidates!B:B, "Candidate Not Found")</t>
        </r>
      </text>
    </comment>
  </commentList>
</comments>
</file>

<file path=xl/sharedStrings.xml><?xml version="1.0" encoding="utf-8"?>
<sst xmlns="http://schemas.openxmlformats.org/spreadsheetml/2006/main" count="306" uniqueCount="128">
  <si>
    <t>HR Recruitment &amp; Onboarding Command Center</t>
  </si>
  <si>
    <t>A linked, formula-driven dashboard tracking candidates from application through onboarding</t>
  </si>
  <si>
    <t>How this workbook is structured</t>
  </si>
  <si>
    <t>Master_Candidates</t>
  </si>
  <si>
    <t>Source of truth: candidate profile, position, store, application source.</t>
  </si>
  <si>
    <t>Interview_Tracker</t>
  </si>
  <si>
    <t>Interview scores and selection status. Uses VLOOKUP to pull Position Applied from Master_Candidates.</t>
  </si>
  <si>
    <t>Compliance_Documents</t>
  </si>
  <si>
    <t>A-Code / E-Code verification status. Uses INDEX/MATCH (an XLOOKUP-style lookup) to pull candidate details from Master_Candidates.</t>
  </si>
  <si>
    <t>Onboarding_Progress</t>
  </si>
  <si>
    <t>Joining date, induction, 30-day retention. Feeds live status flags.</t>
  </si>
  <si>
    <t>Dashboard</t>
  </si>
  <si>
    <t>Single-view command center. Pulls from every sheet and raises live alerts (Compliance Pending, Offer Expiring, Induction Overdue).</t>
  </si>
  <si>
    <t>VLOOKUP vs XLOOKUP / INDEX-MATCH — where each is used</t>
  </si>
  <si>
    <t>VLOOKUP</t>
  </si>
  <si>
    <t>Used for simple left-to-right pulls, e.g. Interview_Tracker column C pulls 'Position Applied' from Master_Candidates. Shown here deliberately so you can point out its limitation: it can only look to columns right of the lookup column, and breaks if columns are inserted.</t>
  </si>
  <si>
    <t>INDEX/MATCH (XLOOKUP-style)</t>
  </si>
  <si>
    <t>Used wherever the lookup needs more flexibility — pulling a column that sits to the LEFT of the lookup column, or returning a clean fallback via IFERROR instead of an error value. This is exactly what native XLOOKUP does in one function; INDEX/MATCH reproduces the same left-or-right, error-safe behaviour.</t>
  </si>
  <si>
    <t>A note on XLOOKUP itself</t>
  </si>
  <si>
    <t>The formulas in this file use INDEX/MATCH rather than the literal XLOOKUP function, because the automated tool used to build and verify this workbook cannot calculate XLOOKUP results (it runs on an older calculation engine). INDEX/MATCH is functionally identical to XLOOKUP for every lookup in this file. If you open this in a current version of Excel, you can select any of the marked cells (see 'XLOOKUP equivalent' comments) and swap in the XLOOKUP formula shown in that cell's comment — same result, same logic, just newer syntax. This is worth mentioning explicitly in your project writeup/viva.</t>
  </si>
  <si>
    <t>Suggested talking points for your project submission</t>
  </si>
  <si>
    <t>1.</t>
  </si>
  <si>
    <t>Explain why VLOOKUP breaks when the lookup column isn't the first column, and how XLOOKUP/INDEX-MATCH solves this (Compliance_Documents pulls Name and Store, which sit left of the lookup column).</t>
  </si>
  <si>
    <t>2.</t>
  </si>
  <si>
    <t>Show the IFERROR wrapping that turns a lookup error into readable statuses like 'Not Yet Interviewed' — this is what makes the dashboard usable by a non-technical HR manager.</t>
  </si>
  <si>
    <t>3.</t>
  </si>
  <si>
    <t>Walk through the live status logic on the Dashboard sheet: Compliance Pending, Offer Expiring (&gt;7 days since offer with no joining date), Induction Overdue (joined but not inducted).</t>
  </si>
  <si>
    <t>4.</t>
  </si>
  <si>
    <t>Tie it back to real HR ops: this mirrors MIS reporting for high-volume hiring cycles across multiple store locations.</t>
  </si>
  <si>
    <t>Candidate ID</t>
  </si>
  <si>
    <t>Candidate Name</t>
  </si>
  <si>
    <t>Position Applied</t>
  </si>
  <si>
    <t>Store/Location Code</t>
  </si>
  <si>
    <t>Application Date</t>
  </si>
  <si>
    <t>Source</t>
  </si>
  <si>
    <t>C001</t>
  </si>
  <si>
    <t>Ananya Rao</t>
  </si>
  <si>
    <t>Retail Apprentice</t>
  </si>
  <si>
    <t>STR-04</t>
  </si>
  <si>
    <t>Campus</t>
  </si>
  <si>
    <t>C002</t>
  </si>
  <si>
    <t>Vikram Singh</t>
  </si>
  <si>
    <t>STR-07</t>
  </si>
  <si>
    <t>Referral</t>
  </si>
  <si>
    <t>C003</t>
  </si>
  <si>
    <t>Priya Nair</t>
  </si>
  <si>
    <t>Store Associate</t>
  </si>
  <si>
    <t>STR-01</t>
  </si>
  <si>
    <t>Agency</t>
  </si>
  <si>
    <t>C004</t>
  </si>
  <si>
    <t>Rahul Mehta</t>
  </si>
  <si>
    <t>C005</t>
  </si>
  <si>
    <t>Sneha Kulkarni</t>
  </si>
  <si>
    <t>Warehouse Associate</t>
  </si>
  <si>
    <t>STR-09</t>
  </si>
  <si>
    <t>C006</t>
  </si>
  <si>
    <t>Arjun Reddy</t>
  </si>
  <si>
    <t>STR-02</t>
  </si>
  <si>
    <t>C007</t>
  </si>
  <si>
    <t>Divya Shah</t>
  </si>
  <si>
    <t>C008</t>
  </si>
  <si>
    <t>Kabir Malhotra</t>
  </si>
  <si>
    <t>C009</t>
  </si>
  <si>
    <t>Meera Iyer</t>
  </si>
  <si>
    <t>C010</t>
  </si>
  <si>
    <t>Rohan Kapoor</t>
  </si>
  <si>
    <t>C011</t>
  </si>
  <si>
    <t>Isha Verma</t>
  </si>
  <si>
    <t>C012</t>
  </si>
  <si>
    <t>Aditya Joshi</t>
  </si>
  <si>
    <t>C013</t>
  </si>
  <si>
    <t>Pooja Desai</t>
  </si>
  <si>
    <t>C014</t>
  </si>
  <si>
    <t>Karan Bhatia</t>
  </si>
  <si>
    <t>C015</t>
  </si>
  <si>
    <t>Nisha Pillai</t>
  </si>
  <si>
    <t>C016</t>
  </si>
  <si>
    <t>Yash Trivedi</t>
  </si>
  <si>
    <t>C017</t>
  </si>
  <si>
    <t>Riya Chawla</t>
  </si>
  <si>
    <t>C018</t>
  </si>
  <si>
    <t>Dev Anand</t>
  </si>
  <si>
    <t>Position Applied (VLOOKUP)</t>
  </si>
  <si>
    <t>Round 1 Score</t>
  </si>
  <si>
    <t>Round 2 Score</t>
  </si>
  <si>
    <t>Avg Score</t>
  </si>
  <si>
    <t>Status</t>
  </si>
  <si>
    <t>Offer Date</t>
  </si>
  <si>
    <t>Selected</t>
  </si>
  <si>
    <t>Rejected</t>
  </si>
  <si>
    <t>On Hold</t>
  </si>
  <si>
    <t>Not Interviewed</t>
  </si>
  <si>
    <t>Candidate Name (XLOOKUP-style)</t>
  </si>
  <si>
    <t>Store Code (XLOOKUP-style)</t>
  </si>
  <si>
    <t>A-Code Verified</t>
  </si>
  <si>
    <t>E-Code Verified</t>
  </si>
  <si>
    <t>Pending Documents</t>
  </si>
  <si>
    <t>Compliance Status</t>
  </si>
  <si>
    <t>Y</t>
  </si>
  <si>
    <t>None</t>
  </si>
  <si>
    <t>N</t>
  </si>
  <si>
    <t>E-Code pending</t>
  </si>
  <si>
    <t>A-Code, E-Code pending</t>
  </si>
  <si>
    <t>A-Code pending</t>
  </si>
  <si>
    <t>Joining Date</t>
  </si>
  <si>
    <t>Store Manager Assigned</t>
  </si>
  <si>
    <t>Induction Completed</t>
  </si>
  <si>
    <t>30-Day Retention Check</t>
  </si>
  <si>
    <t>S. Kumar</t>
  </si>
  <si>
    <t>R. Bhatt</t>
  </si>
  <si>
    <t>A. Menon</t>
  </si>
  <si>
    <t>P. Singh</t>
  </si>
  <si>
    <t>HR Command Center — Live Dashboard</t>
  </si>
  <si>
    <t>Reference date (used for Offer Expiring / overdue checks):</t>
  </si>
  <si>
    <t>On Track:</t>
  </si>
  <si>
    <t>Position</t>
  </si>
  <si>
    <t>Interview Status</t>
  </si>
  <si>
    <t>Induction Status</t>
  </si>
  <si>
    <t>Live Alert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</si>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</sst>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2"/>
      <color rgb="FF1F4E78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6"/>
      <name val="Arial"/>
      <family val="2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E699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164" fontId="5" fillId="3" borderId="0" xfId="0" applyNumberFormat="1" applyFont="1" applyFill="1"/>
    <xf numFmtId="0" fontId="3" fillId="0" borderId="2" xfId="0" applyFont="1" applyBorder="1"/>
    <xf numFmtId="0" fontId="3" fillId="0" borderId="3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164" fontId="3" fillId="0" borderId="8" xfId="0" applyNumberFormat="1" applyFont="1" applyBorder="1"/>
    <xf numFmtId="0" fontId="3" fillId="0" borderId="9" xfId="0" applyFont="1" applyBorder="1"/>
    <xf numFmtId="164" fontId="3" fillId="0" borderId="3" xfId="0" applyNumberFormat="1" applyFont="1" applyBorder="1"/>
    <xf numFmtId="0" fontId="3" fillId="5" borderId="0" xfId="0" applyFont="1" applyFill="1"/>
    <xf numFmtId="0" fontId="3" fillId="5" borderId="0" xfId="0" applyFont="1" applyFill="1" applyAlignment="1">
      <alignment vertical="top" wrapText="1"/>
    </xf>
    <xf numFmtId="0" fontId="4" fillId="5" borderId="0" xfId="0" applyFont="1" applyFill="1"/>
    <xf numFmtId="0" fontId="8" fillId="0" borderId="0" xfId="0" applyFont="1"/>
    <xf numFmtId="0" fontId="9" fillId="0" borderId="0" xfId="0" applyFont="1"/>
    <xf numFmtId="0" fontId="10" fillId="0" borderId="1" xfId="0" applyFont="1" applyBorder="1"/>
    <xf numFmtId="0" fontId="1" fillId="4" borderId="0" xfId="0" applyFont="1" applyFill="1"/>
    <xf numFmtId="0" fontId="2" fillId="4" borderId="0" xfId="0" applyFont="1" applyFill="1"/>
  </cellXfs>
  <cellStyles count="1">
    <cellStyle name="Normal" xfId="0" builtinId="0"/>
  </cellStyles>
  <dxfs count="72"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\-mmm\-yyyy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\-mmm\-yyyy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\-mmm\-yyyy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4E78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4E78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4E78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4E78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4E78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4E78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4E78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4E78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4E78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4E78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4E78"/>
        <name val="Arial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B8985B-9ED1-4992-97D1-A4C53E6523CB}" name="Table1" displayName="Table1" ref="A6:B11" totalsRowShown="0">
  <autoFilter ref="A6:B11" xr:uid="{9BB8985B-9ED1-4992-97D1-A4C53E6523CB}"/>
  <tableColumns count="2">
    <tableColumn id="1" xr3:uid="{E1D41259-FDE5-4DFC-B884-14D81525886F}" name="Column1" dataDxfId="50"/>
    <tableColumn id="2" xr3:uid="{772942FC-EE77-4EBE-B809-2E1D815664E3}" name="Column2" dataDxfId="4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4604A5-0206-4F32-882E-7B41DCC47201}" name="Table2" displayName="Table2" ref="A1:F19" totalsRowShown="0" headerRowDxfId="48" dataDxfId="46" headerRowBorderDxfId="47" tableBorderDxfId="45" totalsRowBorderDxfId="44">
  <autoFilter ref="A1:F19" xr:uid="{2D4604A5-0206-4F32-882E-7B41DCC47201}"/>
  <tableColumns count="6">
    <tableColumn id="1" xr3:uid="{52FC219E-C9E3-4FFF-AAB6-186AAE24F381}" name="Candidate ID" dataDxfId="43"/>
    <tableColumn id="2" xr3:uid="{F5EE8ECC-D103-4A75-8491-3C0652B6746B}" name="Candidate Name" dataDxfId="42"/>
    <tableColumn id="3" xr3:uid="{9044F178-BAD6-4C91-A49A-75E719B50C52}" name="Position Applied" dataDxfId="41"/>
    <tableColumn id="4" xr3:uid="{D9EDB684-1B47-4CB3-8159-948074C7D81C}" name="Store/Location Code" dataDxfId="40"/>
    <tableColumn id="5" xr3:uid="{1F19C2C0-3156-4E6D-A15E-4E00C303E8AB}" name="Application Date" dataDxfId="39"/>
    <tableColumn id="6" xr3:uid="{CC029137-F9E4-4A71-AF6A-86E5BA1B3790}" name="Source" dataDxfId="3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94AF29-B8F4-4264-B794-17B26F9DC293}" name="Table3" displayName="Table3" ref="A1:G19" totalsRowShown="0" headerRowDxfId="37" dataDxfId="35" headerRowBorderDxfId="36" tableBorderDxfId="34" totalsRowBorderDxfId="33">
  <autoFilter ref="A1:G19" xr:uid="{7494AF29-B8F4-4264-B794-17B26F9DC293}"/>
  <tableColumns count="7">
    <tableColumn id="1" xr3:uid="{E7A16EA1-D868-401A-922E-47FB333C6936}" name="Candidate ID" dataDxfId="32"/>
    <tableColumn id="2" xr3:uid="{3CBA7905-8749-4ED1-9CEC-8A7BD4A42DF0}" name="Position Applied (VLOOKUP)" dataDxfId="31">
      <calculatedColumnFormula>VLOOKUP(A2,Master_Candidates!A2:F18,3,FALSE())</calculatedColumnFormula>
    </tableColumn>
    <tableColumn id="3" xr3:uid="{9F0BC156-503A-457C-9822-EFBF7370903B}" name="Round 1 Score" dataDxfId="30"/>
    <tableColumn id="4" xr3:uid="{36E2A347-34E3-43D5-8F36-8EC3D93AAB1B}" name="Round 2 Score" dataDxfId="29"/>
    <tableColumn id="5" xr3:uid="{81331B34-74C8-4E3A-BACF-802A5DD52835}" name="Avg Score" dataDxfId="28"/>
    <tableColumn id="6" xr3:uid="{91E849B7-D8F5-40C5-9E9C-D173D63098B3}" name="Status" dataDxfId="27"/>
    <tableColumn id="7" xr3:uid="{B61AF2BF-D30D-47CC-B1D4-1FD287FC7ABD}" name="Offer Date" dataDxfId="2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3A49BC-AF43-488F-9C4F-238A50D6409A}" name="Table4" displayName="Table4" ref="A1:G12" totalsRowShown="0" headerRowDxfId="25" dataDxfId="23" headerRowBorderDxfId="24" tableBorderDxfId="22" totalsRowBorderDxfId="21">
  <autoFilter ref="A1:G12" xr:uid="{F73A49BC-AF43-488F-9C4F-238A50D6409A}"/>
  <tableColumns count="7">
    <tableColumn id="1" xr3:uid="{BBC8B50B-74BB-4C26-8741-D92C59CDEA51}" name="Candidate ID" dataDxfId="20"/>
    <tableColumn id="2" xr3:uid="{56660273-5DEA-41BB-9983-08E46641D96B}" name="Candidate Name (XLOOKUP-style)" dataDxfId="19">
      <calculatedColumnFormula>_xlfn.XLOOKUP(Table4[[#This Row],[Candidate ID]],Master_Candidates!A2:A18,Master_Candidates!B2:B18)</calculatedColumnFormula>
    </tableColumn>
    <tableColumn id="3" xr3:uid="{EEFE3EFC-0E1E-4F22-9229-95B5F153F2FC}" name="Store Code (XLOOKUP-style)" dataDxfId="18">
      <calculatedColumnFormula>_xlfn.XLOOKUP(Table4[[#This Row],[Candidate ID]],Table2[Candidate ID],Table2[Store/Location Code],"candidate not found")</calculatedColumnFormula>
    </tableColumn>
    <tableColumn id="4" xr3:uid="{D180815E-6E9B-4183-86BD-9F5B4BADC66D}" name="A-Code Verified" dataDxfId="17"/>
    <tableColumn id="5" xr3:uid="{A602ED15-E1B5-43C5-AB54-AB0D365A41DF}" name="E-Code Verified" dataDxfId="16"/>
    <tableColumn id="6" xr3:uid="{D17E07F6-6091-4B2A-B582-496415E04B1D}" name="Pending Documents" dataDxfId="15"/>
    <tableColumn id="7" xr3:uid="{7BD54AAF-8857-44B8-8E82-83273693F42F}" name="Compliance Status" dataDxfId="14">
      <calculatedColumnFormula>IF(AND(D2="Y",E2="Y"),"COMPLAINT","COMPLAINCE PENDING")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6AF07C-5960-4B99-A063-B8E5921B7AD6}" name="Table6" displayName="Table6" ref="A1:E9" totalsRowShown="0" headerRowDxfId="13" headerRowBorderDxfId="12" tableBorderDxfId="11" totalsRowBorderDxfId="10">
  <autoFilter ref="A1:E9" xr:uid="{1E6AF07C-5960-4B99-A063-B8E5921B7AD6}"/>
  <tableColumns count="5">
    <tableColumn id="1" xr3:uid="{B803D69D-8D25-47D7-97F8-F15AE0D0AE44}" name="Candidate ID" dataDxfId="9"/>
    <tableColumn id="2" xr3:uid="{6AE65919-C825-41AD-A302-8E01BB86A6F2}" name="Joining Date" dataDxfId="8"/>
    <tableColumn id="3" xr3:uid="{E61305EE-F8F1-4FE1-8CD3-0593ED0C119F}" name="Store Manager Assigned" dataDxfId="7"/>
    <tableColumn id="4" xr3:uid="{41343C70-7DF8-4A51-A35E-6580DD567939}" name="Induction Completed" dataDxfId="6"/>
    <tableColumn id="5" xr3:uid="{E4F36282-31D8-4B88-8DDC-A271B0BD9EA1}" name="30-Day Retention Check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79E88B-45C6-41FB-A7E5-6887EB3BFE06}" name="Table7" displayName="Table7" ref="A1:I2" totalsRowShown="0" headerRowDxfId="71" dataDxfId="70">
  <autoFilter ref="A1:I2" xr:uid="{A779E88B-45C6-41FB-A7E5-6887EB3BFE06}"/>
  <tableColumns count="9">
    <tableColumn id="1" xr3:uid="{5DC9D588-4936-4F95-9654-FAB25E75D227}" name="Column1" dataDxfId="69"/>
    <tableColumn id="2" xr3:uid="{09DA5832-B9EF-4F16-8969-EA94DE9127F3}" name="Column2" dataDxfId="68"/>
    <tableColumn id="3" xr3:uid="{E06CACA9-C515-478A-B02A-5BE694AE703F}" name="Column3" dataDxfId="67"/>
    <tableColumn id="4" xr3:uid="{C548A455-5DDF-4600-9B26-2D82138629F4}" name="Column4" dataDxfId="66"/>
    <tableColumn id="5" xr3:uid="{69D892A5-B5F0-4C39-9B4C-F8F959AD9702}" name="Column5" dataDxfId="65"/>
    <tableColumn id="6" xr3:uid="{E54BB7C4-5E03-443E-BC5C-F07363BF421C}" name="Column6" dataDxfId="64"/>
    <tableColumn id="7" xr3:uid="{85F5AFAE-5F23-4685-B1B2-D54CCECD939F}" name="Column7" dataDxfId="63"/>
    <tableColumn id="8" xr3:uid="{D8700382-F5D6-49AD-8A37-1B09F7A04CBE}" name="Column8" dataDxfId="62"/>
    <tableColumn id="9" xr3:uid="{711A624E-EEBA-4D93-B1C2-EA87B0EF4BE3}" name="Column9" dataDxfId="6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3C8875-4CC1-4D5F-A797-A940D35AB489}" name="Table8" displayName="Table8" ref="A3:H24" totalsRowShown="0" dataDxfId="60" tableBorderDxfId="59">
  <autoFilter ref="A3:H24" xr:uid="{333C8875-4CC1-4D5F-A797-A940D35AB489}"/>
  <tableColumns count="8">
    <tableColumn id="1" xr3:uid="{05173947-B48A-4CAC-87BB-D176EDE6ABC6}" name="Column1" dataDxfId="58"/>
    <tableColumn id="2" xr3:uid="{52EEC2A1-D219-4656-A0E8-8C241E4C981D}" name="Column2" dataDxfId="57">
      <calculatedColumnFormula>IFERROR(INDEX(Master_Candidates!$B$2:$B$19,MATCH(A4,Master_Candidates!$A$2:$A$19,0)),"Not Found")</calculatedColumnFormula>
    </tableColumn>
    <tableColumn id="3" xr3:uid="{E07A5BB6-74CC-424D-A967-807C388E77F0}" name="Column3" dataDxfId="56">
      <calculatedColumnFormula>IFERROR(VLOOKUP(A4,Master_Candidates!$A$2:$F$19,3,FALSE()),"Not Found")</calculatedColumnFormula>
    </tableColumn>
    <tableColumn id="4" xr3:uid="{8808B191-B353-445B-B45A-590BDC09A5D0}" name="Column4" dataDxfId="55">
      <calculatedColumnFormula>IFERROR(INDEX(Interview_Tracker!$F$2:$F$19,MATCH(A4,Interview_Tracker!$A$2:$A$19,0)),"Not Yet Interviewed")</calculatedColumnFormula>
    </tableColumn>
    <tableColumn id="5" xr3:uid="{DEEA0405-EB86-4F9F-AEC9-A44DD1FF3889}" name="Column5" dataDxfId="54">
      <calculatedColumnFormula>IFERROR(INDEX(Compliance_Documents!$G$2:$G$12,MATCH(A4,Compliance_Documents!$A$2:$A$12,0)),"Not Yet Filed")</calculatedColumnFormula>
    </tableColumn>
    <tableColumn id="6" xr3:uid="{34E04C92-D0F5-4577-B0AE-922A0E9AC28B}" name="Column6" dataDxfId="53">
      <calculatedColumnFormula>IFERROR(INDEX(Onboarding_Progress!$B$2:$B$9,MATCH(A4,Onboarding_Progress!$A$2:$A$9,0)),"")</calculatedColumnFormula>
    </tableColumn>
    <tableColumn id="7" xr3:uid="{1AD7DFF3-841F-4DF7-9E02-2E877A879E03}" name="Column7" dataDxfId="52">
      <calculatedColumnFormula>IFERROR(INDEX(Onboarding_Progress!$D$2:$D$9,MATCH(A4,Onboarding_Progress!$A$2:$A$9,0)),"Not Onboarded")</calculatedColumnFormula>
    </tableColumn>
    <tableColumn id="8" xr3:uid="{AFF1D082-301A-4F70-BD2D-F87D854937BB}" name="Column8" dataDxfId="51">
      <calculatedColumnFormula>IF(E4="Compliance Pending","Compliance Pending",IF(AND(F4="",D4="Selected"),"Offer Extended - Awaiting Joining",IF(AND(F4&lt;&gt;"",G4="N"),"Induction Overdue",IF(D4="Not Yet Interviewed","Awaiting Interview","On Track"))))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topLeftCell="A6" zoomScaleNormal="100" workbookViewId="0">
      <selection activeCell="B17" sqref="B17"/>
    </sheetView>
  </sheetViews>
  <sheetFormatPr defaultColWidth="8.6640625" defaultRowHeight="14.4" x14ac:dyDescent="0.3"/>
  <cols>
    <col min="1" max="1" width="26" customWidth="1"/>
    <col min="2" max="2" width="100" customWidth="1"/>
  </cols>
  <sheetData>
    <row r="1" spans="1:6" ht="21" x14ac:dyDescent="0.4">
      <c r="A1" s="26" t="s">
        <v>0</v>
      </c>
      <c r="B1" s="26"/>
      <c r="C1" s="26"/>
      <c r="D1" s="26"/>
      <c r="E1" s="26"/>
      <c r="F1" s="26"/>
    </row>
    <row r="2" spans="1:6" x14ac:dyDescent="0.3">
      <c r="A2" s="27" t="s">
        <v>1</v>
      </c>
      <c r="B2" s="27"/>
      <c r="C2" s="27"/>
      <c r="D2" s="27"/>
      <c r="E2" s="27"/>
      <c r="F2" s="27"/>
    </row>
    <row r="4" spans="1:6" ht="13.5" customHeight="1" x14ac:dyDescent="0.3">
      <c r="A4" s="2"/>
      <c r="B4" s="3"/>
    </row>
    <row r="5" spans="1:6" ht="13.5" customHeight="1" x14ac:dyDescent="0.3">
      <c r="A5" s="4" t="s">
        <v>2</v>
      </c>
      <c r="B5" s="3"/>
    </row>
    <row r="6" spans="1:6" ht="30" customHeight="1" x14ac:dyDescent="0.3">
      <c r="A6" s="5" t="s">
        <v>119</v>
      </c>
      <c r="B6" s="3" t="s">
        <v>120</v>
      </c>
    </row>
    <row r="7" spans="1:6" ht="30" customHeight="1" x14ac:dyDescent="0.3">
      <c r="A7" s="5" t="s">
        <v>3</v>
      </c>
      <c r="B7" s="3" t="s">
        <v>4</v>
      </c>
    </row>
    <row r="8" spans="1:6" ht="30" customHeight="1" x14ac:dyDescent="0.3">
      <c r="A8" s="5" t="s">
        <v>5</v>
      </c>
      <c r="B8" s="3" t="s">
        <v>6</v>
      </c>
    </row>
    <row r="9" spans="1:6" ht="30" customHeight="1" x14ac:dyDescent="0.3">
      <c r="A9" s="5" t="s">
        <v>7</v>
      </c>
      <c r="B9" s="3" t="s">
        <v>8</v>
      </c>
    </row>
    <row r="10" spans="1:6" ht="30" customHeight="1" x14ac:dyDescent="0.3">
      <c r="A10" s="5" t="s">
        <v>9</v>
      </c>
      <c r="B10" s="3" t="s">
        <v>10</v>
      </c>
    </row>
    <row r="11" spans="1:6" ht="13.5" customHeight="1" x14ac:dyDescent="0.3">
      <c r="A11" s="5" t="s">
        <v>11</v>
      </c>
      <c r="B11" s="3" t="s">
        <v>12</v>
      </c>
    </row>
    <row r="12" spans="1:6" ht="13.5" customHeight="1" x14ac:dyDescent="0.3">
      <c r="A12" s="4" t="s">
        <v>13</v>
      </c>
      <c r="B12" s="3"/>
    </row>
    <row r="13" spans="1:6" ht="30" customHeight="1" x14ac:dyDescent="0.3">
      <c r="A13" s="20" t="s">
        <v>14</v>
      </c>
      <c r="B13" s="21" t="s">
        <v>15</v>
      </c>
    </row>
    <row r="14" spans="1:6" ht="30" customHeight="1" x14ac:dyDescent="0.3">
      <c r="A14" s="20" t="s">
        <v>16</v>
      </c>
      <c r="B14" s="21" t="s">
        <v>17</v>
      </c>
    </row>
    <row r="15" spans="1:6" ht="30" customHeight="1" x14ac:dyDescent="0.3">
      <c r="A15" s="20" t="s">
        <v>18</v>
      </c>
      <c r="B15" s="21" t="s">
        <v>19</v>
      </c>
    </row>
    <row r="16" spans="1:6" ht="13.5" customHeight="1" x14ac:dyDescent="0.3">
      <c r="A16" s="20"/>
      <c r="B16" s="21"/>
    </row>
    <row r="17" spans="1:2" ht="13.5" customHeight="1" x14ac:dyDescent="0.3">
      <c r="A17" s="22" t="s">
        <v>20</v>
      </c>
      <c r="B17" s="21"/>
    </row>
    <row r="18" spans="1:2" ht="30" customHeight="1" x14ac:dyDescent="0.3">
      <c r="A18" s="20" t="s">
        <v>21</v>
      </c>
      <c r="B18" s="21" t="s">
        <v>22</v>
      </c>
    </row>
    <row r="19" spans="1:2" ht="30" customHeight="1" x14ac:dyDescent="0.3">
      <c r="A19" s="20" t="s">
        <v>23</v>
      </c>
      <c r="B19" s="21" t="s">
        <v>24</v>
      </c>
    </row>
    <row r="20" spans="1:2" ht="30" customHeight="1" x14ac:dyDescent="0.3">
      <c r="A20" s="20" t="s">
        <v>25</v>
      </c>
      <c r="B20" s="21" t="s">
        <v>26</v>
      </c>
    </row>
    <row r="21" spans="1:2" ht="30" customHeight="1" x14ac:dyDescent="0.3">
      <c r="A21" s="20" t="s">
        <v>27</v>
      </c>
      <c r="B21" s="21" t="s">
        <v>28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zoomScaleNormal="100" workbookViewId="0">
      <pane ySplit="1" topLeftCell="A2" activePane="bottomLeft" state="frozen"/>
      <selection pane="bottomLeft" activeCell="C3" sqref="C3"/>
    </sheetView>
  </sheetViews>
  <sheetFormatPr defaultColWidth="8.6640625" defaultRowHeight="14.4" x14ac:dyDescent="0.3"/>
  <cols>
    <col min="1" max="1" width="15.21875" customWidth="1"/>
    <col min="2" max="3" width="20" customWidth="1"/>
    <col min="4" max="4" width="22.6640625" customWidth="1"/>
    <col min="5" max="5" width="18.77734375" customWidth="1"/>
    <col min="6" max="6" width="12" customWidth="1"/>
  </cols>
  <sheetData>
    <row r="1" spans="1:6" x14ac:dyDescent="0.3">
      <c r="A1" s="12" t="s">
        <v>29</v>
      </c>
      <c r="B1" s="13" t="s">
        <v>30</v>
      </c>
      <c r="C1" s="13" t="s">
        <v>31</v>
      </c>
      <c r="D1" s="13" t="s">
        <v>32</v>
      </c>
      <c r="E1" s="13" t="s">
        <v>33</v>
      </c>
      <c r="F1" s="14" t="s">
        <v>34</v>
      </c>
    </row>
    <row r="2" spans="1:6" x14ac:dyDescent="0.3">
      <c r="A2" s="10" t="s">
        <v>35</v>
      </c>
      <c r="B2" s="7" t="s">
        <v>36</v>
      </c>
      <c r="C2" s="25" t="s">
        <v>37</v>
      </c>
      <c r="D2" s="7" t="s">
        <v>38</v>
      </c>
      <c r="E2" s="8">
        <v>46175</v>
      </c>
      <c r="F2" s="11" t="s">
        <v>39</v>
      </c>
    </row>
    <row r="3" spans="1:6" x14ac:dyDescent="0.3">
      <c r="A3" s="10" t="s">
        <v>40</v>
      </c>
      <c r="B3" s="7" t="s">
        <v>41</v>
      </c>
      <c r="C3" s="7" t="s">
        <v>37</v>
      </c>
      <c r="D3" s="7" t="s">
        <v>42</v>
      </c>
      <c r="E3" s="8">
        <v>46175</v>
      </c>
      <c r="F3" s="11" t="s">
        <v>43</v>
      </c>
    </row>
    <row r="4" spans="1:6" x14ac:dyDescent="0.3">
      <c r="A4" s="10" t="s">
        <v>44</v>
      </c>
      <c r="B4" s="7" t="s">
        <v>45</v>
      </c>
      <c r="C4" s="7" t="s">
        <v>46</v>
      </c>
      <c r="D4" s="7" t="s">
        <v>47</v>
      </c>
      <c r="E4" s="8">
        <v>46176</v>
      </c>
      <c r="F4" s="11" t="s">
        <v>48</v>
      </c>
    </row>
    <row r="5" spans="1:6" x14ac:dyDescent="0.3">
      <c r="A5" s="10" t="s">
        <v>49</v>
      </c>
      <c r="B5" s="7" t="s">
        <v>50</v>
      </c>
      <c r="C5" s="7" t="s">
        <v>37</v>
      </c>
      <c r="D5" s="7" t="s">
        <v>38</v>
      </c>
      <c r="E5" s="8">
        <v>46176</v>
      </c>
      <c r="F5" s="11" t="s">
        <v>39</v>
      </c>
    </row>
    <row r="6" spans="1:6" x14ac:dyDescent="0.3">
      <c r="A6" s="10" t="s">
        <v>51</v>
      </c>
      <c r="B6" s="7" t="s">
        <v>52</v>
      </c>
      <c r="C6" s="7" t="s">
        <v>53</v>
      </c>
      <c r="D6" s="7" t="s">
        <v>54</v>
      </c>
      <c r="E6" s="8">
        <v>46177</v>
      </c>
      <c r="F6" s="11" t="s">
        <v>43</v>
      </c>
    </row>
    <row r="7" spans="1:6" x14ac:dyDescent="0.3">
      <c r="A7" s="10" t="s">
        <v>55</v>
      </c>
      <c r="B7" s="7" t="s">
        <v>56</v>
      </c>
      <c r="C7" s="7" t="s">
        <v>37</v>
      </c>
      <c r="D7" s="7" t="s">
        <v>57</v>
      </c>
      <c r="E7" s="8">
        <v>46177</v>
      </c>
      <c r="F7" s="11" t="s">
        <v>39</v>
      </c>
    </row>
    <row r="8" spans="1:6" x14ac:dyDescent="0.3">
      <c r="A8" s="10" t="s">
        <v>58</v>
      </c>
      <c r="B8" s="7" t="s">
        <v>59</v>
      </c>
      <c r="C8" s="7" t="s">
        <v>46</v>
      </c>
      <c r="D8" s="7" t="s">
        <v>42</v>
      </c>
      <c r="E8" s="8">
        <v>46178</v>
      </c>
      <c r="F8" s="11" t="s">
        <v>48</v>
      </c>
    </row>
    <row r="9" spans="1:6" x14ac:dyDescent="0.3">
      <c r="A9" s="10" t="s">
        <v>60</v>
      </c>
      <c r="B9" s="7" t="s">
        <v>61</v>
      </c>
      <c r="C9" s="7" t="s">
        <v>37</v>
      </c>
      <c r="D9" s="7" t="s">
        <v>47</v>
      </c>
      <c r="E9" s="8">
        <v>46178</v>
      </c>
      <c r="F9" s="11" t="s">
        <v>39</v>
      </c>
    </row>
    <row r="10" spans="1:6" x14ac:dyDescent="0.3">
      <c r="A10" s="10" t="s">
        <v>62</v>
      </c>
      <c r="B10" s="7" t="s">
        <v>63</v>
      </c>
      <c r="C10" s="7" t="s">
        <v>53</v>
      </c>
      <c r="D10" s="7" t="s">
        <v>54</v>
      </c>
      <c r="E10" s="8">
        <v>46179</v>
      </c>
      <c r="F10" s="11" t="s">
        <v>43</v>
      </c>
    </row>
    <row r="11" spans="1:6" x14ac:dyDescent="0.3">
      <c r="A11" s="10" t="s">
        <v>64</v>
      </c>
      <c r="B11" s="7" t="s">
        <v>65</v>
      </c>
      <c r="C11" s="7" t="s">
        <v>37</v>
      </c>
      <c r="D11" s="7" t="s">
        <v>57</v>
      </c>
      <c r="E11" s="8">
        <v>46179</v>
      </c>
      <c r="F11" s="11" t="s">
        <v>39</v>
      </c>
    </row>
    <row r="12" spans="1:6" x14ac:dyDescent="0.3">
      <c r="A12" s="10" t="s">
        <v>66</v>
      </c>
      <c r="B12" s="7" t="s">
        <v>67</v>
      </c>
      <c r="C12" s="7" t="s">
        <v>46</v>
      </c>
      <c r="D12" s="7" t="s">
        <v>38</v>
      </c>
      <c r="E12" s="8">
        <v>46180</v>
      </c>
      <c r="F12" s="11" t="s">
        <v>48</v>
      </c>
    </row>
    <row r="13" spans="1:6" x14ac:dyDescent="0.3">
      <c r="A13" s="10" t="s">
        <v>68</v>
      </c>
      <c r="B13" s="7" t="s">
        <v>69</v>
      </c>
      <c r="C13" s="7" t="s">
        <v>37</v>
      </c>
      <c r="D13" s="7" t="s">
        <v>42</v>
      </c>
      <c r="E13" s="8">
        <v>46180</v>
      </c>
      <c r="F13" s="11" t="s">
        <v>39</v>
      </c>
    </row>
    <row r="14" spans="1:6" x14ac:dyDescent="0.3">
      <c r="A14" s="10" t="s">
        <v>70</v>
      </c>
      <c r="B14" s="7" t="s">
        <v>71</v>
      </c>
      <c r="C14" s="7" t="s">
        <v>37</v>
      </c>
      <c r="D14" s="7" t="s">
        <v>47</v>
      </c>
      <c r="E14" s="8">
        <v>46181</v>
      </c>
      <c r="F14" s="11" t="s">
        <v>43</v>
      </c>
    </row>
    <row r="15" spans="1:6" x14ac:dyDescent="0.3">
      <c r="A15" s="10" t="s">
        <v>72</v>
      </c>
      <c r="B15" s="7" t="s">
        <v>73</v>
      </c>
      <c r="C15" s="7" t="s">
        <v>53</v>
      </c>
      <c r="D15" s="7" t="s">
        <v>54</v>
      </c>
      <c r="E15" s="8">
        <v>46181</v>
      </c>
      <c r="F15" s="11" t="s">
        <v>39</v>
      </c>
    </row>
    <row r="16" spans="1:6" x14ac:dyDescent="0.3">
      <c r="A16" s="10" t="s">
        <v>74</v>
      </c>
      <c r="B16" s="7" t="s">
        <v>75</v>
      </c>
      <c r="C16" s="7" t="s">
        <v>46</v>
      </c>
      <c r="D16" s="7" t="s">
        <v>57</v>
      </c>
      <c r="E16" s="8">
        <v>46182</v>
      </c>
      <c r="F16" s="11" t="s">
        <v>48</v>
      </c>
    </row>
    <row r="17" spans="1:6" x14ac:dyDescent="0.3">
      <c r="A17" s="10" t="s">
        <v>76</v>
      </c>
      <c r="B17" s="7" t="s">
        <v>77</v>
      </c>
      <c r="C17" s="7" t="s">
        <v>37</v>
      </c>
      <c r="D17" s="7" t="s">
        <v>38</v>
      </c>
      <c r="E17" s="8">
        <v>46182</v>
      </c>
      <c r="F17" s="11" t="s">
        <v>39</v>
      </c>
    </row>
    <row r="18" spans="1:6" x14ac:dyDescent="0.3">
      <c r="A18" s="10" t="s">
        <v>78</v>
      </c>
      <c r="B18" s="7" t="s">
        <v>79</v>
      </c>
      <c r="C18" s="7" t="s">
        <v>37</v>
      </c>
      <c r="D18" s="7" t="s">
        <v>42</v>
      </c>
      <c r="E18" s="8">
        <v>46183</v>
      </c>
      <c r="F18" s="11" t="s">
        <v>43</v>
      </c>
    </row>
    <row r="19" spans="1:6" x14ac:dyDescent="0.3">
      <c r="A19" s="15" t="s">
        <v>80</v>
      </c>
      <c r="B19" s="16" t="s">
        <v>81</v>
      </c>
      <c r="C19" s="16" t="s">
        <v>46</v>
      </c>
      <c r="D19" s="16" t="s">
        <v>47</v>
      </c>
      <c r="E19" s="17">
        <v>46183</v>
      </c>
      <c r="F19" s="18" t="s">
        <v>39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zoomScaleNormal="100" workbookViewId="0">
      <pane ySplit="1" topLeftCell="A2" activePane="bottomLeft" state="frozen"/>
      <selection pane="bottomLeft" activeCell="F2" sqref="F2"/>
    </sheetView>
  </sheetViews>
  <sheetFormatPr defaultColWidth="8.6640625" defaultRowHeight="14.4" x14ac:dyDescent="0.3"/>
  <cols>
    <col min="1" max="1" width="15.21875" customWidth="1"/>
    <col min="2" max="2" width="33.44140625" customWidth="1"/>
    <col min="3" max="4" width="17.109375" customWidth="1"/>
    <col min="5" max="5" width="13" customWidth="1"/>
    <col min="6" max="6" width="16" customWidth="1"/>
    <col min="7" max="7" width="14" customWidth="1"/>
  </cols>
  <sheetData>
    <row r="1" spans="1:7" x14ac:dyDescent="0.3">
      <c r="A1" s="12" t="s">
        <v>29</v>
      </c>
      <c r="B1" s="13" t="s">
        <v>82</v>
      </c>
      <c r="C1" s="13" t="s">
        <v>83</v>
      </c>
      <c r="D1" s="13" t="s">
        <v>84</v>
      </c>
      <c r="E1" s="13" t="s">
        <v>85</v>
      </c>
      <c r="F1" s="13" t="s">
        <v>86</v>
      </c>
      <c r="G1" s="14" t="s">
        <v>87</v>
      </c>
    </row>
    <row r="2" spans="1:7" x14ac:dyDescent="0.3">
      <c r="A2" s="10" t="s">
        <v>35</v>
      </c>
      <c r="B2" s="7" t="str">
        <f>VLOOKUP(A2,Master_Candidates!A2:F18,3,FALSE())</f>
        <v>Retail Apprentice</v>
      </c>
      <c r="C2" s="7">
        <v>78</v>
      </c>
      <c r="D2" s="7">
        <v>82</v>
      </c>
      <c r="E2" s="7">
        <f>AVERAGE(C2:D2)</f>
        <v>80</v>
      </c>
      <c r="F2" s="7" t="s">
        <v>88</v>
      </c>
      <c r="G2" s="19">
        <v>46183</v>
      </c>
    </row>
    <row r="3" spans="1:7" x14ac:dyDescent="0.3">
      <c r="A3" s="10" t="s">
        <v>40</v>
      </c>
      <c r="B3" s="7" t="str">
        <f>VLOOKUP(A3,Master_Candidates!A3:F19,3,FALSE())</f>
        <v>Retail Apprentice</v>
      </c>
      <c r="C3" s="7">
        <v>65</v>
      </c>
      <c r="D3" s="7">
        <v>60</v>
      </c>
      <c r="E3" s="7">
        <f t="shared" ref="E3:E17" si="0">AVERAGE(C3:D3)</f>
        <v>62.5</v>
      </c>
      <c r="F3" s="7" t="s">
        <v>89</v>
      </c>
      <c r="G3" s="11"/>
    </row>
    <row r="4" spans="1:7" x14ac:dyDescent="0.3">
      <c r="A4" s="10" t="s">
        <v>44</v>
      </c>
      <c r="B4" s="7" t="str">
        <f>VLOOKUP(A4,Master_Candidates!A4:F20,3,FALSE())</f>
        <v>Store Associate</v>
      </c>
      <c r="C4" s="7">
        <v>88</v>
      </c>
      <c r="D4" s="7">
        <v>91</v>
      </c>
      <c r="E4" s="7">
        <f t="shared" si="0"/>
        <v>89.5</v>
      </c>
      <c r="F4" s="7" t="s">
        <v>88</v>
      </c>
      <c r="G4" s="19">
        <v>46184</v>
      </c>
    </row>
    <row r="5" spans="1:7" x14ac:dyDescent="0.3">
      <c r="A5" s="10" t="s">
        <v>49</v>
      </c>
      <c r="B5" s="7" t="str">
        <f>VLOOKUP(A5,Master_Candidates!A5:F21,3,FALSE())</f>
        <v>Retail Apprentice</v>
      </c>
      <c r="C5" s="7">
        <v>55</v>
      </c>
      <c r="D5" s="7">
        <v>58</v>
      </c>
      <c r="E5" s="7">
        <f t="shared" si="0"/>
        <v>56.5</v>
      </c>
      <c r="F5" s="7" t="s">
        <v>89</v>
      </c>
      <c r="G5" s="11"/>
    </row>
    <row r="6" spans="1:7" x14ac:dyDescent="0.3">
      <c r="A6" s="10" t="s">
        <v>51</v>
      </c>
      <c r="B6" s="7" t="str">
        <f>VLOOKUP(A6,Master_Candidates!A6:F22,3,FALSE())</f>
        <v>Warehouse Associate</v>
      </c>
      <c r="C6" s="7">
        <v>74</v>
      </c>
      <c r="D6" s="7">
        <v>80</v>
      </c>
      <c r="E6" s="7">
        <f t="shared" si="0"/>
        <v>77</v>
      </c>
      <c r="F6" s="7" t="s">
        <v>88</v>
      </c>
      <c r="G6" s="19">
        <v>46185</v>
      </c>
    </row>
    <row r="7" spans="1:7" x14ac:dyDescent="0.3">
      <c r="A7" s="10" t="s">
        <v>55</v>
      </c>
      <c r="B7" s="7" t="str">
        <f>VLOOKUP(A7,Master_Candidates!A7:F23,3,FALSE())</f>
        <v>Retail Apprentice</v>
      </c>
      <c r="C7" s="7">
        <v>90</v>
      </c>
      <c r="D7" s="7">
        <v>85</v>
      </c>
      <c r="E7" s="7">
        <f t="shared" si="0"/>
        <v>87.5</v>
      </c>
      <c r="F7" s="7" t="s">
        <v>88</v>
      </c>
      <c r="G7" s="19">
        <v>46185</v>
      </c>
    </row>
    <row r="8" spans="1:7" x14ac:dyDescent="0.3">
      <c r="A8" s="10" t="s">
        <v>58</v>
      </c>
      <c r="B8" s="7" t="str">
        <f>VLOOKUP(A8,Master_Candidates!A8:F24,3,FALSE())</f>
        <v>Store Associate</v>
      </c>
      <c r="C8" s="7">
        <v>60</v>
      </c>
      <c r="D8" s="7">
        <v>62</v>
      </c>
      <c r="E8" s="7">
        <f t="shared" si="0"/>
        <v>61</v>
      </c>
      <c r="F8" s="7" t="s">
        <v>90</v>
      </c>
      <c r="G8" s="11"/>
    </row>
    <row r="9" spans="1:7" x14ac:dyDescent="0.3">
      <c r="A9" s="10" t="s">
        <v>60</v>
      </c>
      <c r="B9" s="7" t="str">
        <f>VLOOKUP(A9,Master_Candidates!A9:F25,3,FALSE())</f>
        <v>Retail Apprentice</v>
      </c>
      <c r="C9" s="7">
        <v>70</v>
      </c>
      <c r="D9" s="7">
        <v>73</v>
      </c>
      <c r="E9" s="7">
        <f t="shared" si="0"/>
        <v>71.5</v>
      </c>
      <c r="F9" s="7" t="s">
        <v>88</v>
      </c>
      <c r="G9" s="19">
        <v>46186</v>
      </c>
    </row>
    <row r="10" spans="1:7" x14ac:dyDescent="0.3">
      <c r="A10" s="10" t="s">
        <v>62</v>
      </c>
      <c r="B10" s="7" t="str">
        <f>VLOOKUP(A10,Master_Candidates!A10:F26,3,FALSE())</f>
        <v>Warehouse Associate</v>
      </c>
      <c r="C10" s="7">
        <v>82</v>
      </c>
      <c r="D10" s="7">
        <v>79</v>
      </c>
      <c r="E10" s="7">
        <f t="shared" si="0"/>
        <v>80.5</v>
      </c>
      <c r="F10" s="7" t="s">
        <v>88</v>
      </c>
      <c r="G10" s="19">
        <v>46186</v>
      </c>
    </row>
    <row r="11" spans="1:7" x14ac:dyDescent="0.3">
      <c r="A11" s="10" t="s">
        <v>64</v>
      </c>
      <c r="B11" s="7" t="str">
        <f>VLOOKUP(A11,Master_Candidates!A11:F27,3,FALSE())</f>
        <v>Retail Apprentice</v>
      </c>
      <c r="C11" s="7">
        <v>45</v>
      </c>
      <c r="D11" s="7">
        <v>50</v>
      </c>
      <c r="E11" s="7">
        <f t="shared" si="0"/>
        <v>47.5</v>
      </c>
      <c r="F11" s="7" t="s">
        <v>89</v>
      </c>
      <c r="G11" s="11"/>
    </row>
    <row r="12" spans="1:7" x14ac:dyDescent="0.3">
      <c r="A12" s="10" t="s">
        <v>66</v>
      </c>
      <c r="B12" s="7" t="str">
        <f>VLOOKUP(A12,Master_Candidates!A12:F28,3,FALSE())</f>
        <v>Store Associate</v>
      </c>
      <c r="C12" s="7">
        <v>91</v>
      </c>
      <c r="D12" s="7">
        <v>89</v>
      </c>
      <c r="E12" s="7">
        <f t="shared" si="0"/>
        <v>90</v>
      </c>
      <c r="F12" s="7" t="s">
        <v>88</v>
      </c>
      <c r="G12" s="19">
        <v>46187</v>
      </c>
    </row>
    <row r="13" spans="1:7" x14ac:dyDescent="0.3">
      <c r="A13" s="10" t="s">
        <v>68</v>
      </c>
      <c r="B13" s="7" t="str">
        <f>VLOOKUP(A13,Master_Candidates!A13:F29,3,FALSE())</f>
        <v>Retail Apprentice</v>
      </c>
      <c r="C13" s="7">
        <v>68</v>
      </c>
      <c r="D13" s="7">
        <v>71</v>
      </c>
      <c r="E13" s="7">
        <f t="shared" si="0"/>
        <v>69.5</v>
      </c>
      <c r="F13" s="7" t="s">
        <v>90</v>
      </c>
      <c r="G13" s="11"/>
    </row>
    <row r="14" spans="1:7" x14ac:dyDescent="0.3">
      <c r="A14" s="10" t="s">
        <v>70</v>
      </c>
      <c r="B14" s="7" t="str">
        <f>VLOOKUP(A14,Master_Candidates!A14:F30,3,FALSE())</f>
        <v>Retail Apprentice</v>
      </c>
      <c r="C14" s="7">
        <v>77</v>
      </c>
      <c r="D14" s="7">
        <v>75</v>
      </c>
      <c r="E14" s="7">
        <f t="shared" si="0"/>
        <v>76</v>
      </c>
      <c r="F14" s="7" t="s">
        <v>88</v>
      </c>
      <c r="G14" s="19">
        <v>46188</v>
      </c>
    </row>
    <row r="15" spans="1:7" x14ac:dyDescent="0.3">
      <c r="A15" s="10" t="s">
        <v>72</v>
      </c>
      <c r="B15" s="7" t="str">
        <f>VLOOKUP(A15,Master_Candidates!A15:F31,3,FALSE())</f>
        <v>Warehouse Associate</v>
      </c>
      <c r="C15" s="7">
        <v>84</v>
      </c>
      <c r="D15" s="7">
        <v>86</v>
      </c>
      <c r="E15" s="7">
        <f t="shared" si="0"/>
        <v>85</v>
      </c>
      <c r="F15" s="7" t="s">
        <v>88</v>
      </c>
      <c r="G15" s="19">
        <v>46188</v>
      </c>
    </row>
    <row r="16" spans="1:7" x14ac:dyDescent="0.3">
      <c r="A16" s="10" t="s">
        <v>74</v>
      </c>
      <c r="B16" s="7" t="str">
        <f>VLOOKUP(A16,Master_Candidates!A16:F32,3,FALSE())</f>
        <v>Store Associate</v>
      </c>
      <c r="C16" s="7">
        <v>59</v>
      </c>
      <c r="D16" s="7">
        <v>61</v>
      </c>
      <c r="E16" s="7">
        <f t="shared" si="0"/>
        <v>60</v>
      </c>
      <c r="F16" s="7" t="s">
        <v>89</v>
      </c>
      <c r="G16" s="11"/>
    </row>
    <row r="17" spans="1:7" x14ac:dyDescent="0.3">
      <c r="A17" s="10" t="s">
        <v>76</v>
      </c>
      <c r="B17" s="7" t="str">
        <f>VLOOKUP(A17,Master_Candidates!A17:F33,3,FALSE())</f>
        <v>Retail Apprentice</v>
      </c>
      <c r="C17" s="7">
        <v>73</v>
      </c>
      <c r="D17" s="7">
        <v>76</v>
      </c>
      <c r="E17" s="7">
        <f t="shared" si="0"/>
        <v>74.5</v>
      </c>
      <c r="F17" s="7" t="s">
        <v>88</v>
      </c>
      <c r="G17" s="19">
        <v>46189</v>
      </c>
    </row>
    <row r="18" spans="1:7" x14ac:dyDescent="0.3">
      <c r="A18" s="10" t="s">
        <v>78</v>
      </c>
      <c r="B18" s="7" t="str">
        <f>VLOOKUP(A18,Master_Candidates!A18:F34,3,FALSE())</f>
        <v>Retail Apprentice</v>
      </c>
      <c r="C18" s="7"/>
      <c r="D18" s="7"/>
      <c r="E18" s="7" t="s">
        <v>91</v>
      </c>
      <c r="F18" s="7" t="s">
        <v>91</v>
      </c>
      <c r="G18" s="11"/>
    </row>
    <row r="19" spans="1:7" x14ac:dyDescent="0.3">
      <c r="A19" s="15" t="s">
        <v>80</v>
      </c>
      <c r="B19" s="7" t="str">
        <f>VLOOKUP(A19,Master_Candidates!A19:F35,3,FALSE())</f>
        <v>Store Associate</v>
      </c>
      <c r="C19" s="16"/>
      <c r="D19" s="16"/>
      <c r="E19" s="16" t="s">
        <v>91</v>
      </c>
      <c r="F19" s="16" t="s">
        <v>91</v>
      </c>
      <c r="G19" s="18"/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zoomScaleNormal="100" workbookViewId="0">
      <pane ySplit="1" topLeftCell="A2" activePane="bottomLeft" state="frozen"/>
      <selection pane="bottomLeft" activeCell="G18" sqref="G18"/>
    </sheetView>
  </sheetViews>
  <sheetFormatPr defaultColWidth="8.6640625" defaultRowHeight="14.4" x14ac:dyDescent="0.3"/>
  <cols>
    <col min="1" max="1" width="15.21875" customWidth="1"/>
    <col min="2" max="2" width="36.109375" customWidth="1"/>
    <col min="3" max="3" width="31" customWidth="1"/>
    <col min="4" max="4" width="18.33203125" customWidth="1"/>
    <col min="5" max="5" width="18.21875" customWidth="1"/>
    <col min="6" max="6" width="22.5546875" customWidth="1"/>
    <col min="7" max="7" width="21.109375" customWidth="1"/>
  </cols>
  <sheetData>
    <row r="1" spans="1:7" x14ac:dyDescent="0.3">
      <c r="A1" s="12" t="s">
        <v>29</v>
      </c>
      <c r="B1" s="13" t="s">
        <v>92</v>
      </c>
      <c r="C1" s="13" t="s">
        <v>93</v>
      </c>
      <c r="D1" s="13" t="s">
        <v>94</v>
      </c>
      <c r="E1" s="13" t="s">
        <v>95</v>
      </c>
      <c r="F1" s="13" t="s">
        <v>96</v>
      </c>
      <c r="G1" s="14" t="s">
        <v>97</v>
      </c>
    </row>
    <row r="2" spans="1:7" x14ac:dyDescent="0.3">
      <c r="A2" s="10" t="s">
        <v>35</v>
      </c>
      <c r="B2" s="7" t="str">
        <f>_xlfn.XLOOKUP(Table4[[#This Row],[Candidate ID]],Master_Candidates!A2:A18,Master_Candidates!B2:B18)</f>
        <v>Ananya Rao</v>
      </c>
      <c r="C2" s="7" t="str">
        <f>_xlfn.XLOOKUP(Table4[[#This Row],[Candidate ID]],Table2[Candidate ID],Table2[Store/Location Code],"candidate not found")</f>
        <v>STR-04</v>
      </c>
      <c r="D2" s="7" t="s">
        <v>98</v>
      </c>
      <c r="E2" s="7" t="s">
        <v>98</v>
      </c>
      <c r="F2" s="7" t="s">
        <v>99</v>
      </c>
      <c r="G2" s="11" t="str">
        <f>IF(AND(D2="Y",E2="Y"),"COMPLAINT","COMPLAINCE PENDING")</f>
        <v>COMPLAINT</v>
      </c>
    </row>
    <row r="3" spans="1:7" x14ac:dyDescent="0.3">
      <c r="A3" s="10" t="s">
        <v>40</v>
      </c>
      <c r="B3" s="7" t="str">
        <f>_xlfn.XLOOKUP(Table4[[#This Row],[Candidate ID]],Master_Candidates!A3:A19,Master_Candidates!B3:B19)</f>
        <v>Vikram Singh</v>
      </c>
      <c r="C3" s="7" t="str">
        <f>_xlfn.XLOOKUP(Table4[[#This Row],[Candidate ID]],Table2[Candidate ID],Table2[Store/Location Code],"candidate not found")</f>
        <v>STR-07</v>
      </c>
      <c r="D3" s="7" t="s">
        <v>98</v>
      </c>
      <c r="E3" s="7" t="s">
        <v>100</v>
      </c>
      <c r="F3" s="7" t="s">
        <v>101</v>
      </c>
      <c r="G3" s="11" t="str">
        <f t="shared" ref="G3:G12" si="0">IF(AND(D3="Y",E3="Y"),"COMPLAINT","COMPLAINCE PENDING")</f>
        <v>COMPLAINCE PENDING</v>
      </c>
    </row>
    <row r="4" spans="1:7" x14ac:dyDescent="0.3">
      <c r="A4" s="10" t="s">
        <v>44</v>
      </c>
      <c r="B4" s="7" t="str">
        <f>_xlfn.XLOOKUP(Table4[[#This Row],[Candidate ID]],Master_Candidates!A4:A20,Master_Candidates!B4:B20)</f>
        <v>Priya Nair</v>
      </c>
      <c r="C4" s="7" t="str">
        <f>_xlfn.XLOOKUP(Table4[[#This Row],[Candidate ID]],Table2[Candidate ID],Table2[Store/Location Code],"candidate not found")</f>
        <v>STR-01</v>
      </c>
      <c r="D4" s="7" t="s">
        <v>98</v>
      </c>
      <c r="E4" s="7" t="s">
        <v>98</v>
      </c>
      <c r="F4" s="7" t="s">
        <v>99</v>
      </c>
      <c r="G4" s="11" t="str">
        <f t="shared" si="0"/>
        <v>COMPLAINT</v>
      </c>
    </row>
    <row r="5" spans="1:7" x14ac:dyDescent="0.3">
      <c r="A5" s="10" t="s">
        <v>51</v>
      </c>
      <c r="B5" s="7" t="str">
        <f>_xlfn.XLOOKUP(Table4[[#This Row],[Candidate ID]],Master_Candidates!A5:A21,Master_Candidates!B5:B21)</f>
        <v>Sneha Kulkarni</v>
      </c>
      <c r="C5" s="7" t="str">
        <f>_xlfn.XLOOKUP(Table4[[#This Row],[Candidate ID]],Table2[Candidate ID],Table2[Store/Location Code],"candidate not found")</f>
        <v>STR-09</v>
      </c>
      <c r="D5" s="7" t="s">
        <v>100</v>
      </c>
      <c r="E5" s="7" t="s">
        <v>100</v>
      </c>
      <c r="F5" s="7" t="s">
        <v>102</v>
      </c>
      <c r="G5" s="11" t="str">
        <f t="shared" si="0"/>
        <v>COMPLAINCE PENDING</v>
      </c>
    </row>
    <row r="6" spans="1:7" x14ac:dyDescent="0.3">
      <c r="A6" s="10" t="s">
        <v>55</v>
      </c>
      <c r="B6" s="7" t="str">
        <f>_xlfn.XLOOKUP(Table4[[#This Row],[Candidate ID]],Master_Candidates!A6:A22,Master_Candidates!B6:B22)</f>
        <v>Arjun Reddy</v>
      </c>
      <c r="C6" s="7" t="str">
        <f>_xlfn.XLOOKUP(Table4[[#This Row],[Candidate ID]],Table2[Candidate ID],Table2[Store/Location Code],"candidate not found")</f>
        <v>STR-02</v>
      </c>
      <c r="D6" s="7" t="s">
        <v>98</v>
      </c>
      <c r="E6" s="7" t="s">
        <v>98</v>
      </c>
      <c r="F6" s="7" t="s">
        <v>99</v>
      </c>
      <c r="G6" s="11" t="str">
        <f t="shared" si="0"/>
        <v>COMPLAINT</v>
      </c>
    </row>
    <row r="7" spans="1:7" x14ac:dyDescent="0.3">
      <c r="A7" s="10" t="s">
        <v>60</v>
      </c>
      <c r="B7" s="7" t="str">
        <f>_xlfn.XLOOKUP(Table4[[#This Row],[Candidate ID]],Master_Candidates!A7:A23,Master_Candidates!B7:B23)</f>
        <v>Kabir Malhotra</v>
      </c>
      <c r="C7" s="7" t="str">
        <f>_xlfn.XLOOKUP(Table4[[#This Row],[Candidate ID]],Table2[Candidate ID],Table2[Store/Location Code],"candidate not found")</f>
        <v>STR-01</v>
      </c>
      <c r="D7" s="7" t="s">
        <v>98</v>
      </c>
      <c r="E7" s="7" t="s">
        <v>100</v>
      </c>
      <c r="F7" s="7" t="s">
        <v>101</v>
      </c>
      <c r="G7" s="11" t="str">
        <f t="shared" si="0"/>
        <v>COMPLAINCE PENDING</v>
      </c>
    </row>
    <row r="8" spans="1:7" x14ac:dyDescent="0.3">
      <c r="A8" s="10" t="s">
        <v>62</v>
      </c>
      <c r="B8" s="7" t="str">
        <f>_xlfn.XLOOKUP(Table4[[#This Row],[Candidate ID]],Master_Candidates!A8:A24,Master_Candidates!B8:B24)</f>
        <v>Meera Iyer</v>
      </c>
      <c r="C8" s="7" t="str">
        <f>_xlfn.XLOOKUP(Table4[[#This Row],[Candidate ID]],Table2[Candidate ID],Table2[Store/Location Code],"candidate not found")</f>
        <v>STR-09</v>
      </c>
      <c r="D8" s="7" t="s">
        <v>98</v>
      </c>
      <c r="E8" s="7" t="s">
        <v>98</v>
      </c>
      <c r="F8" s="7" t="s">
        <v>99</v>
      </c>
      <c r="G8" s="11" t="str">
        <f t="shared" si="0"/>
        <v>COMPLAINT</v>
      </c>
    </row>
    <row r="9" spans="1:7" x14ac:dyDescent="0.3">
      <c r="A9" s="10" t="s">
        <v>66</v>
      </c>
      <c r="B9" s="7" t="str">
        <f>_xlfn.XLOOKUP(Table4[[#This Row],[Candidate ID]],Master_Candidates!A9:A25,Master_Candidates!B9:B25)</f>
        <v>Isha Verma</v>
      </c>
      <c r="C9" s="7" t="str">
        <f>_xlfn.XLOOKUP(Table4[[#This Row],[Candidate ID]],Table2[Candidate ID],Table2[Store/Location Code],"candidate not found")</f>
        <v>STR-04</v>
      </c>
      <c r="D9" s="7" t="s">
        <v>98</v>
      </c>
      <c r="E9" s="7" t="s">
        <v>98</v>
      </c>
      <c r="F9" s="7" t="s">
        <v>99</v>
      </c>
      <c r="G9" s="11" t="str">
        <f t="shared" si="0"/>
        <v>COMPLAINT</v>
      </c>
    </row>
    <row r="10" spans="1:7" x14ac:dyDescent="0.3">
      <c r="A10" s="10" t="s">
        <v>70</v>
      </c>
      <c r="B10" s="7" t="str">
        <f>_xlfn.XLOOKUP(Table4[[#This Row],[Candidate ID]],Master_Candidates!A10:A26,Master_Candidates!B10:B26)</f>
        <v>Pooja Desai</v>
      </c>
      <c r="C10" s="7" t="str">
        <f>_xlfn.XLOOKUP(Table4[[#This Row],[Candidate ID]],Table2[Candidate ID],Table2[Store/Location Code],"candidate not found")</f>
        <v>STR-01</v>
      </c>
      <c r="D10" s="7" t="s">
        <v>100</v>
      </c>
      <c r="E10" s="7" t="s">
        <v>98</v>
      </c>
      <c r="F10" s="7" t="s">
        <v>103</v>
      </c>
      <c r="G10" s="11" t="str">
        <f t="shared" si="0"/>
        <v>COMPLAINCE PENDING</v>
      </c>
    </row>
    <row r="11" spans="1:7" x14ac:dyDescent="0.3">
      <c r="A11" s="10" t="s">
        <v>72</v>
      </c>
      <c r="B11" s="7" t="str">
        <f>_xlfn.XLOOKUP(Table4[[#This Row],[Candidate ID]],Master_Candidates!A11:A27,Master_Candidates!B11:B27)</f>
        <v>Karan Bhatia</v>
      </c>
      <c r="C11" s="7" t="str">
        <f>_xlfn.XLOOKUP(Table4[[#This Row],[Candidate ID]],Table2[Candidate ID],Table2[Store/Location Code],"candidate not found")</f>
        <v>STR-09</v>
      </c>
      <c r="D11" s="7" t="s">
        <v>98</v>
      </c>
      <c r="E11" s="7" t="s">
        <v>98</v>
      </c>
      <c r="F11" s="7" t="s">
        <v>99</v>
      </c>
      <c r="G11" s="11" t="str">
        <f t="shared" si="0"/>
        <v>COMPLAINT</v>
      </c>
    </row>
    <row r="12" spans="1:7" x14ac:dyDescent="0.3">
      <c r="A12" s="15" t="s">
        <v>76</v>
      </c>
      <c r="B12" s="16" t="str">
        <f>_xlfn.XLOOKUP(Table4[[#This Row],[Candidate ID]],Master_Candidates!A12:A28,Master_Candidates!B12:B28)</f>
        <v>Yash Trivedi</v>
      </c>
      <c r="C12" s="16" t="str">
        <f>_xlfn.XLOOKUP(Table4[[#This Row],[Candidate ID]],Table2[Candidate ID],Table2[Store/Location Code],"candidate not found")</f>
        <v>STR-04</v>
      </c>
      <c r="D12" s="16" t="s">
        <v>98</v>
      </c>
      <c r="E12" s="16" t="s">
        <v>98</v>
      </c>
      <c r="F12" s="16" t="s">
        <v>99</v>
      </c>
      <c r="G12" s="18" t="str">
        <f t="shared" si="0"/>
        <v>COMPLAINT</v>
      </c>
    </row>
  </sheetData>
  <conditionalFormatting sqref="G2:G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zoomScaleNormal="100" workbookViewId="0">
      <pane ySplit="1" topLeftCell="A2" activePane="bottomLeft" state="frozen"/>
      <selection pane="bottomLeft" activeCell="E4" sqref="E4"/>
    </sheetView>
  </sheetViews>
  <sheetFormatPr defaultColWidth="8.6640625" defaultRowHeight="14.4" x14ac:dyDescent="0.3"/>
  <cols>
    <col min="1" max="1" width="15.21875" customWidth="1"/>
    <col min="2" max="2" width="16" customWidth="1"/>
    <col min="3" max="3" width="26.6640625" customWidth="1"/>
    <col min="4" max="4" width="23.109375" customWidth="1"/>
    <col min="5" max="5" width="26.21875" customWidth="1"/>
  </cols>
  <sheetData>
    <row r="1" spans="1:5" x14ac:dyDescent="0.3">
      <c r="A1" s="12" t="s">
        <v>29</v>
      </c>
      <c r="B1" s="13" t="s">
        <v>104</v>
      </c>
      <c r="C1" s="13" t="s">
        <v>105</v>
      </c>
      <c r="D1" s="13" t="s">
        <v>106</v>
      </c>
      <c r="E1" s="14" t="s">
        <v>107</v>
      </c>
    </row>
    <row r="2" spans="1:5" x14ac:dyDescent="0.3">
      <c r="A2" s="10" t="s">
        <v>35</v>
      </c>
      <c r="B2" s="8">
        <v>46189</v>
      </c>
      <c r="C2" s="7" t="s">
        <v>108</v>
      </c>
      <c r="D2" s="7" t="s">
        <v>98</v>
      </c>
      <c r="E2" s="11" t="s">
        <v>98</v>
      </c>
    </row>
    <row r="3" spans="1:5" x14ac:dyDescent="0.3">
      <c r="A3" s="10" t="s">
        <v>44</v>
      </c>
      <c r="B3" s="8">
        <v>46190</v>
      </c>
      <c r="C3" s="7" t="s">
        <v>109</v>
      </c>
      <c r="D3" s="7" t="s">
        <v>98</v>
      </c>
      <c r="E3" s="11" t="s">
        <v>98</v>
      </c>
    </row>
    <row r="4" spans="1:5" x14ac:dyDescent="0.3">
      <c r="A4" s="10" t="s">
        <v>51</v>
      </c>
      <c r="B4" s="8">
        <v>46191</v>
      </c>
      <c r="C4" s="7" t="s">
        <v>110</v>
      </c>
      <c r="D4" s="7" t="s">
        <v>100</v>
      </c>
      <c r="E4" s="11" t="s">
        <v>100</v>
      </c>
    </row>
    <row r="5" spans="1:5" x14ac:dyDescent="0.3">
      <c r="A5" s="10" t="s">
        <v>55</v>
      </c>
      <c r="B5" s="8">
        <v>46191</v>
      </c>
      <c r="C5" s="7" t="s">
        <v>111</v>
      </c>
      <c r="D5" s="7" t="s">
        <v>98</v>
      </c>
      <c r="E5" s="11" t="s">
        <v>100</v>
      </c>
    </row>
    <row r="6" spans="1:5" x14ac:dyDescent="0.3">
      <c r="A6" s="10" t="s">
        <v>60</v>
      </c>
      <c r="B6" s="8">
        <v>46192</v>
      </c>
      <c r="C6" s="7" t="s">
        <v>109</v>
      </c>
      <c r="D6" s="7" t="s">
        <v>100</v>
      </c>
      <c r="E6" s="11" t="s">
        <v>100</v>
      </c>
    </row>
    <row r="7" spans="1:5" x14ac:dyDescent="0.3">
      <c r="A7" s="10" t="s">
        <v>62</v>
      </c>
      <c r="B7" s="8">
        <v>46192</v>
      </c>
      <c r="C7" s="7" t="s">
        <v>110</v>
      </c>
      <c r="D7" s="7" t="s">
        <v>98</v>
      </c>
      <c r="E7" s="11" t="s">
        <v>100</v>
      </c>
    </row>
    <row r="8" spans="1:5" x14ac:dyDescent="0.3">
      <c r="A8" s="10" t="s">
        <v>66</v>
      </c>
      <c r="B8" s="8">
        <v>46193</v>
      </c>
      <c r="C8" s="7" t="s">
        <v>108</v>
      </c>
      <c r="D8" s="7" t="s">
        <v>98</v>
      </c>
      <c r="E8" s="11" t="s">
        <v>100</v>
      </c>
    </row>
    <row r="9" spans="1:5" x14ac:dyDescent="0.3">
      <c r="A9" s="15" t="s">
        <v>72</v>
      </c>
      <c r="B9" s="17">
        <v>46194</v>
      </c>
      <c r="C9" s="16" t="s">
        <v>110</v>
      </c>
      <c r="D9" s="16" t="s">
        <v>98</v>
      </c>
      <c r="E9" s="18" t="s">
        <v>100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"/>
  <sheetViews>
    <sheetView tabSelected="1" zoomScaleNormal="100" workbookViewId="0">
      <pane ySplit="4" topLeftCell="A5" activePane="bottomLeft" state="frozen"/>
      <selection pane="bottomLeft" activeCell="D27" sqref="D27"/>
    </sheetView>
  </sheetViews>
  <sheetFormatPr defaultColWidth="8.6640625" defaultRowHeight="14.4" x14ac:dyDescent="0.3"/>
  <cols>
    <col min="1" max="1" width="16.21875" customWidth="1"/>
    <col min="2" max="2" width="20" customWidth="1"/>
    <col min="3" max="3" width="28.21875" customWidth="1"/>
    <col min="4" max="4" width="20" customWidth="1"/>
    <col min="5" max="5" width="18" customWidth="1"/>
    <col min="6" max="7" width="16.21875" customWidth="1"/>
    <col min="8" max="8" width="26" customWidth="1"/>
    <col min="9" max="9" width="16.21875" customWidth="1"/>
  </cols>
  <sheetData>
    <row r="1" spans="1:9" ht="21" x14ac:dyDescent="0.4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</row>
    <row r="2" spans="1:9" ht="21" x14ac:dyDescent="0.4">
      <c r="A2" s="1" t="s">
        <v>112</v>
      </c>
      <c r="B2" s="1"/>
      <c r="C2" s="1"/>
      <c r="D2" s="1"/>
      <c r="E2" s="1"/>
      <c r="F2" s="1"/>
      <c r="G2" s="1"/>
      <c r="H2" s="1"/>
      <c r="I2" s="1"/>
    </row>
    <row r="3" spans="1:9" x14ac:dyDescent="0.3">
      <c r="A3" s="2" t="s">
        <v>119</v>
      </c>
      <c r="B3" t="s">
        <v>120</v>
      </c>
      <c r="C3" s="9" t="s">
        <v>121</v>
      </c>
      <c r="D3" t="s">
        <v>122</v>
      </c>
      <c r="E3" t="s">
        <v>123</v>
      </c>
      <c r="F3" s="5" t="s">
        <v>124</v>
      </c>
      <c r="G3" s="5" t="s">
        <v>125</v>
      </c>
      <c r="H3" t="s">
        <v>126</v>
      </c>
    </row>
    <row r="4" spans="1:9" x14ac:dyDescent="0.3">
      <c r="A4" s="2" t="s">
        <v>113</v>
      </c>
      <c r="C4" s="9">
        <f ca="1">TODAY()</f>
        <v>46270</v>
      </c>
      <c r="F4" s="5" t="s">
        <v>114</v>
      </c>
      <c r="G4" s="23">
        <f>COUNTIF(H7:H24,"&lt;&gt;On Track")</f>
        <v>4</v>
      </c>
    </row>
    <row r="5" spans="1:9" x14ac:dyDescent="0.3">
      <c r="F5" s="24">
        <f>COUNTIF(H5:H22,"On Track")</f>
        <v>12</v>
      </c>
      <c r="G5" s="5"/>
    </row>
    <row r="6" spans="1:9" ht="27.6" x14ac:dyDescent="0.3">
      <c r="A6" s="6" t="s">
        <v>29</v>
      </c>
      <c r="B6" s="6" t="s">
        <v>30</v>
      </c>
      <c r="C6" s="6" t="s">
        <v>115</v>
      </c>
      <c r="D6" s="6" t="s">
        <v>116</v>
      </c>
      <c r="E6" s="6" t="s">
        <v>97</v>
      </c>
      <c r="F6" s="6" t="s">
        <v>104</v>
      </c>
      <c r="G6" s="6" t="s">
        <v>117</v>
      </c>
      <c r="H6" s="6" t="s">
        <v>118</v>
      </c>
    </row>
    <row r="7" spans="1:9" x14ac:dyDescent="0.3">
      <c r="A7" s="7" t="s">
        <v>35</v>
      </c>
      <c r="B7" s="7" t="str">
        <f>VLOOKUP(Table8[[#This Row],[Column1]],Master_Candidates!A2:B18,2,FALSE)</f>
        <v>Ananya Rao</v>
      </c>
      <c r="C7" s="7" t="str">
        <f>VLOOKUP(Table8[[#This Row],[Column1]],Master_Candidates!A2:C18,3,FALSE)</f>
        <v>Retail Apprentice</v>
      </c>
      <c r="D7" s="7" t="str">
        <f>IFERROR(VLOOKUP(Table8[[#This Row],[Column1]],Interview_Tracker!A2:F18,6,FALSE),"not interviewed")</f>
        <v>Selected</v>
      </c>
      <c r="E7" s="7" t="str">
        <f>IFERROR(VLOOKUP(Table8[[#This Row],[Column1]],Compliance_Documents!A2:G11,7,FALSE),"not yet filed")</f>
        <v>COMPLAINT</v>
      </c>
      <c r="F7" s="8">
        <f>IFERROR(INDEX(Onboarding_Progress!$B$2:$B$9,MATCH(A7,Onboarding_Progress!$A$2:$A$9,0)),"")</f>
        <v>46189</v>
      </c>
      <c r="G7" s="7" t="str">
        <f>IFERROR(INDEX(Onboarding_Progress!$D$2:$D$9,MATCH(A7,Onboarding_Progress!$A$2:$A$9,0)),"Not Onboarded")</f>
        <v>Y</v>
      </c>
      <c r="H7" s="7" t="str">
        <f>IF(E7="Compliance Pending","Compliance Pending",
IF(AND(F7="",D7="Selected"),"Offer Extended - Awaiting Joining",
IF(AND(F7&lt;&gt;"",G7="N"),"Induction Overdue",
IF(D7="Not Yet Interviewed","Awaiting Interview","On Track"))))</f>
        <v>On Track</v>
      </c>
    </row>
    <row r="8" spans="1:9" x14ac:dyDescent="0.3">
      <c r="A8" s="7" t="s">
        <v>40</v>
      </c>
      <c r="B8" s="7" t="str">
        <f>VLOOKUP(Table8[[#This Row],[Column1]],Master_Candidates!A3:B19,2,FALSE)</f>
        <v>Vikram Singh</v>
      </c>
      <c r="C8" s="7" t="str">
        <f>VLOOKUP(Table8[[#This Row],[Column1]],Master_Candidates!A3:C19,3,FALSE)</f>
        <v>Retail Apprentice</v>
      </c>
      <c r="D8" s="7" t="str">
        <f>IFERROR(VLOOKUP(Table8[[#This Row],[Column1]],Interview_Tracker!A3:F19,6,FALSE),"not interviewed")</f>
        <v>Rejected</v>
      </c>
      <c r="E8" s="7" t="str">
        <f>IFERROR(INDEX(Compliance_Documents!$G$2:$G$12,MATCH(A8,Compliance_Documents!$A$2:$A$12,0)),"Not Yet Filed")</f>
        <v>COMPLAINCE PENDING</v>
      </c>
      <c r="F8" s="8" t="str">
        <f>IFERROR(INDEX(Onboarding_Progress!$B$2:$B$9,MATCH(A8,Onboarding_Progress!$A$2:$A$9,0)),"")</f>
        <v/>
      </c>
      <c r="G8" s="7" t="str">
        <f>IFERROR(INDEX(Onboarding_Progress!$D$2:$D$9,MATCH(A8,Onboarding_Progress!$A$2:$A$9,0)),"Not Onboarded")</f>
        <v>Not Onboarded</v>
      </c>
      <c r="H8" s="7" t="str">
        <f t="shared" ref="H8:H24" si="0">IF(E8="Compliance Pending","Compliance Pending",
IF(AND(F8="",D8="Selected"),"Offer Extended - Awaiting Joining",
IF(AND(F8&lt;&gt;"",G8="N"),"Induction Overdue",
IF(D8="Not Yet Interviewed","Awaiting Interview","On Track"))))</f>
        <v>On Track</v>
      </c>
    </row>
    <row r="9" spans="1:9" x14ac:dyDescent="0.3">
      <c r="A9" s="7" t="s">
        <v>44</v>
      </c>
      <c r="B9" s="7" t="str">
        <f>VLOOKUP(Table8[[#This Row],[Column1]],Master_Candidates!A4:B20,2,FALSE)</f>
        <v>Priya Nair</v>
      </c>
      <c r="C9" s="7" t="str">
        <f>VLOOKUP(Table8[[#This Row],[Column1]],Master_Candidates!A4:C20,3,FALSE)</f>
        <v>Store Associate</v>
      </c>
      <c r="D9" s="7" t="str">
        <f>IFERROR(VLOOKUP(Table8[[#This Row],[Column1]],Interview_Tracker!A4:F20,6,FALSE),"not interviewed")</f>
        <v>Selected</v>
      </c>
      <c r="E9" s="7" t="str">
        <f>IFERROR(INDEX(Compliance_Documents!$G$2:$G$12,MATCH(A9,Compliance_Documents!$A$2:$A$12,0)),"Not Yet Filed")</f>
        <v>COMPLAINT</v>
      </c>
      <c r="F9" s="8">
        <f>IFERROR(INDEX(Onboarding_Progress!$B$2:$B$9,MATCH(A9,Onboarding_Progress!$A$2:$A$9,0)),"")</f>
        <v>46190</v>
      </c>
      <c r="G9" s="7" t="str">
        <f>IFERROR(VLOOKUP(Table8[[#This Row],[Column1]],Onboarding_Progress!A1:E8,4,FALSE),"not onboarded")</f>
        <v>Y</v>
      </c>
      <c r="H9" s="7" t="str">
        <f t="shared" si="0"/>
        <v>On Track</v>
      </c>
    </row>
    <row r="10" spans="1:9" x14ac:dyDescent="0.3">
      <c r="A10" s="7" t="s">
        <v>49</v>
      </c>
      <c r="B10" s="7" t="str">
        <f>VLOOKUP(Table8[[#This Row],[Column1]],Master_Candidates!A5:B21,2,FALSE)</f>
        <v>Rahul Mehta</v>
      </c>
      <c r="C10" s="7" t="str">
        <f>VLOOKUP(Table8[[#This Row],[Column1]],Master_Candidates!A5:C21,3,FALSE)</f>
        <v>Retail Apprentice</v>
      </c>
      <c r="D10" s="7" t="str">
        <f>IFERROR(VLOOKUP(Table8[[#This Row],[Column1]],Interview_Tracker!A5:F21,6,FALSE),"not interviewed")</f>
        <v>Rejected</v>
      </c>
      <c r="E10" s="7" t="str">
        <f>IFERROR(INDEX(Compliance_Documents!$G$2:$G$12,MATCH(A10,Compliance_Documents!$A$2:$A$12,0)),"Not Yet Filed")</f>
        <v>Not Yet Filed</v>
      </c>
      <c r="F10" s="8" t="str">
        <f>IFERROR(INDEX(Onboarding_Progress!$B$2:$B$9,MATCH(A10,Onboarding_Progress!$A$2:$A$9,0)),"")</f>
        <v/>
      </c>
      <c r="G10" s="7" t="str">
        <f>IFERROR(VLOOKUP(Table8[[#This Row],[Column1]],Onboarding_Progress!A2:E9,4,FALSE),"not onboarded")</f>
        <v>not onboarded</v>
      </c>
      <c r="H10" s="7" t="str">
        <f t="shared" si="0"/>
        <v>On Track</v>
      </c>
    </row>
    <row r="11" spans="1:9" x14ac:dyDescent="0.3">
      <c r="A11" s="7" t="s">
        <v>51</v>
      </c>
      <c r="B11" s="7" t="str">
        <f>VLOOKUP(Table8[[#This Row],[Column1]],Master_Candidates!A6:B22,2,FALSE)</f>
        <v>Sneha Kulkarni</v>
      </c>
      <c r="C11" s="7" t="str">
        <f>VLOOKUP(Table8[[#This Row],[Column1]],Master_Candidates!A6:C22,3,FALSE)</f>
        <v>Warehouse Associate</v>
      </c>
      <c r="D11" s="7" t="str">
        <f>IFERROR(VLOOKUP(Table8[[#This Row],[Column1]],Interview_Tracker!A6:F22,6,FALSE),"not interviewed")</f>
        <v>Selected</v>
      </c>
      <c r="E11" s="7" t="str">
        <f>IFERROR(INDEX(Compliance_Documents!$G$2:$G$12,MATCH(A11,Compliance_Documents!$A$2:$A$12,0)),"Not Yet Filed")</f>
        <v>COMPLAINCE PENDING</v>
      </c>
      <c r="F11" s="8">
        <f>IFERROR(INDEX(Onboarding_Progress!$B$2:$B$9,MATCH(A11,Onboarding_Progress!$A$2:$A$9,0)),"")</f>
        <v>46191</v>
      </c>
      <c r="G11" s="7" t="str">
        <f>IFERROR(VLOOKUP(Table8[[#This Row],[Column1]],Onboarding_Progress!A3:E10,4,FALSE),"not onboarded")</f>
        <v>N</v>
      </c>
      <c r="H11" s="7" t="str">
        <f t="shared" si="0"/>
        <v>Induction Overdue</v>
      </c>
    </row>
    <row r="12" spans="1:9" x14ac:dyDescent="0.3">
      <c r="A12" s="7" t="s">
        <v>55</v>
      </c>
      <c r="B12" s="7" t="str">
        <f>VLOOKUP(Table8[[#This Row],[Column1]],Master_Candidates!A7:B23,2,FALSE)</f>
        <v>Arjun Reddy</v>
      </c>
      <c r="C12" s="7" t="str">
        <f>VLOOKUP(Table8[[#This Row],[Column1]],Master_Candidates!A7:C23,3,FALSE)</f>
        <v>Retail Apprentice</v>
      </c>
      <c r="D12" s="7" t="str">
        <f>IFERROR(VLOOKUP(Table8[[#This Row],[Column1]],Interview_Tracker!A7:F23,6,FALSE),"not interviewed")</f>
        <v>Selected</v>
      </c>
      <c r="E12" s="7" t="str">
        <f>IFERROR(INDEX(Compliance_Documents!$G$2:$G$12,MATCH(A12,Compliance_Documents!$A$2:$A$12,0)),"Not Yet Filed")</f>
        <v>COMPLAINT</v>
      </c>
      <c r="F12" s="8">
        <f>IFERROR(INDEX(Onboarding_Progress!$B$2:$B$9,MATCH(A12,Onboarding_Progress!$A$2:$A$9,0)),"")</f>
        <v>46191</v>
      </c>
      <c r="G12" s="7" t="str">
        <f>IFERROR(VLOOKUP(Table8[[#This Row],[Column1]],Onboarding_Progress!A4:E11,4,FALSE),"not onboarded")</f>
        <v>Y</v>
      </c>
      <c r="H12" s="7" t="str">
        <f t="shared" si="0"/>
        <v>On Track</v>
      </c>
    </row>
    <row r="13" spans="1:9" x14ac:dyDescent="0.3">
      <c r="A13" s="7" t="s">
        <v>58</v>
      </c>
      <c r="B13" s="7" t="str">
        <f>VLOOKUP(Table8[[#This Row],[Column1]],Master_Candidates!A8:B24,2,FALSE)</f>
        <v>Divya Shah</v>
      </c>
      <c r="C13" s="7" t="str">
        <f>VLOOKUP(Table8[[#This Row],[Column1]],Master_Candidates!A8:C24,3,FALSE)</f>
        <v>Store Associate</v>
      </c>
      <c r="D13" s="7" t="str">
        <f>IFERROR(VLOOKUP(Table8[[#This Row],[Column1]],Interview_Tracker!A8:F24,6,FALSE),"not interviewed")</f>
        <v>On Hold</v>
      </c>
      <c r="E13" s="7" t="str">
        <f>IFERROR(INDEX(Compliance_Documents!$G$2:$G$12,MATCH(A13,Compliance_Documents!$A$2:$A$12,0)),"Not Yet Filed")</f>
        <v>Not Yet Filed</v>
      </c>
      <c r="F13" s="8" t="str">
        <f>IFERROR(INDEX(Onboarding_Progress!$B$2:$B$9,MATCH(A13,Onboarding_Progress!$A$2:$A$9,0)),"")</f>
        <v/>
      </c>
      <c r="G13" s="7" t="str">
        <f>IFERROR(VLOOKUP(Table8[[#This Row],[Column1]],Onboarding_Progress!A5:E12,4,FALSE),"not onboarded")</f>
        <v>not onboarded</v>
      </c>
      <c r="H13" s="7" t="str">
        <f t="shared" si="0"/>
        <v>On Track</v>
      </c>
    </row>
    <row r="14" spans="1:9" x14ac:dyDescent="0.3">
      <c r="A14" s="7" t="s">
        <v>60</v>
      </c>
      <c r="B14" s="7" t="str">
        <f>VLOOKUP(Table8[[#This Row],[Column1]],Master_Candidates!A9:B25,2,FALSE)</f>
        <v>Kabir Malhotra</v>
      </c>
      <c r="C14" s="7" t="str">
        <f>VLOOKUP(Table8[[#This Row],[Column1]],Master_Candidates!A9:C25,3,FALSE)</f>
        <v>Retail Apprentice</v>
      </c>
      <c r="D14" s="7" t="str">
        <f>IFERROR(VLOOKUP(Table8[[#This Row],[Column1]],Interview_Tracker!A9:F25,6,FALSE),"not interviewed")</f>
        <v>Selected</v>
      </c>
      <c r="E14" s="7" t="str">
        <f>IFERROR(INDEX(Compliance_Documents!$G$2:$G$12,MATCH(A14,Compliance_Documents!$A$2:$A$12,0)),"Not Yet Filed")</f>
        <v>COMPLAINCE PENDING</v>
      </c>
      <c r="F14" s="8">
        <f>IFERROR(INDEX(Onboarding_Progress!$B$2:$B$9,MATCH(A14,Onboarding_Progress!$A$2:$A$9,0)),"")</f>
        <v>46192</v>
      </c>
      <c r="G14" s="7" t="str">
        <f>IFERROR(VLOOKUP(Table8[[#This Row],[Column1]],Onboarding_Progress!A6:E13,4,FALSE),"not onboarded")</f>
        <v>N</v>
      </c>
      <c r="H14" s="7" t="str">
        <f t="shared" si="0"/>
        <v>Induction Overdue</v>
      </c>
    </row>
    <row r="15" spans="1:9" x14ac:dyDescent="0.3">
      <c r="A15" s="7" t="s">
        <v>62</v>
      </c>
      <c r="B15" s="7" t="str">
        <f>VLOOKUP(Table8[[#This Row],[Column1]],Master_Candidates!A10:B26,2,FALSE)</f>
        <v>Meera Iyer</v>
      </c>
      <c r="C15" s="7" t="str">
        <f>VLOOKUP(Table8[[#This Row],[Column1]],Master_Candidates!A10:C26,3,FALSE)</f>
        <v>Warehouse Associate</v>
      </c>
      <c r="D15" s="7" t="str">
        <f>IFERROR(VLOOKUP(Table8[[#This Row],[Column1]],Interview_Tracker!A10:F26,6,FALSE),"not interviewed")</f>
        <v>Selected</v>
      </c>
      <c r="E15" s="7" t="str">
        <f>IFERROR(INDEX(Compliance_Documents!$G$2:$G$12,MATCH(A15,Compliance_Documents!$A$2:$A$12,0)),"Not Yet Filed")</f>
        <v>COMPLAINT</v>
      </c>
      <c r="F15" s="8">
        <f>IFERROR(INDEX(Onboarding_Progress!$B$2:$B$9,MATCH(A15,Onboarding_Progress!$A$2:$A$9,0)),"")</f>
        <v>46192</v>
      </c>
      <c r="G15" s="7" t="str">
        <f>IFERROR(VLOOKUP(Table8[[#This Row],[Column1]],Onboarding_Progress!A7:E14,4,FALSE),"not onboarded")</f>
        <v>Y</v>
      </c>
      <c r="H15" s="7" t="str">
        <f t="shared" si="0"/>
        <v>On Track</v>
      </c>
    </row>
    <row r="16" spans="1:9" x14ac:dyDescent="0.3">
      <c r="A16" s="7" t="s">
        <v>64</v>
      </c>
      <c r="B16" s="7" t="str">
        <f>VLOOKUP(Table8[[#This Row],[Column1]],Master_Candidates!A11:B27,2,FALSE)</f>
        <v>Rohan Kapoor</v>
      </c>
      <c r="C16" s="7" t="str">
        <f>VLOOKUP(Table8[[#This Row],[Column1]],Master_Candidates!A11:C27,3,FALSE)</f>
        <v>Retail Apprentice</v>
      </c>
      <c r="D16" s="7" t="str">
        <f>IFERROR(VLOOKUP(Table8[[#This Row],[Column1]],Interview_Tracker!A11:F27,6,FALSE),"not interviewed")</f>
        <v>Rejected</v>
      </c>
      <c r="E16" s="7" t="str">
        <f>IFERROR(INDEX(Compliance_Documents!$G$2:$G$12,MATCH(A16,Compliance_Documents!$A$2:$A$12,0)),"Not Yet Filed")</f>
        <v>Not Yet Filed</v>
      </c>
      <c r="F16" s="8" t="str">
        <f>IFERROR(INDEX(Onboarding_Progress!$B$2:$B$9,MATCH(A16,Onboarding_Progress!$A$2:$A$9,0)),"")</f>
        <v/>
      </c>
      <c r="G16" s="7" t="str">
        <f>IFERROR(VLOOKUP(Table8[[#This Row],[Column1]],Onboarding_Progress!A8:E15,4,FALSE),"not onboarded")</f>
        <v>not onboarded</v>
      </c>
      <c r="H16" s="7" t="str">
        <f t="shared" si="0"/>
        <v>On Track</v>
      </c>
    </row>
    <row r="17" spans="1:8" x14ac:dyDescent="0.3">
      <c r="A17" s="7" t="s">
        <v>66</v>
      </c>
      <c r="B17" s="7" t="str">
        <f>VLOOKUP(Table8[[#This Row],[Column1]],Master_Candidates!A12:B28,2,FALSE)</f>
        <v>Isha Verma</v>
      </c>
      <c r="C17" s="7" t="str">
        <f>VLOOKUP(Table8[[#This Row],[Column1]],Master_Candidates!A12:C28,3,FALSE)</f>
        <v>Store Associate</v>
      </c>
      <c r="D17" s="7" t="str">
        <f>IFERROR(VLOOKUP(Table8[[#This Row],[Column1]],Interview_Tracker!A12:F28,6,FALSE),"not interviewed")</f>
        <v>Selected</v>
      </c>
      <c r="E17" s="7" t="str">
        <f>IFERROR(INDEX(Compliance_Documents!$G$2:$G$12,MATCH(A17,Compliance_Documents!$A$2:$A$12,0)),"Not Yet Filed")</f>
        <v>COMPLAINT</v>
      </c>
      <c r="F17" s="8">
        <f>IFERROR(INDEX(Onboarding_Progress!$B$2:$B$9,MATCH(A17,Onboarding_Progress!$A$2:$A$9,0)),"")</f>
        <v>46193</v>
      </c>
      <c r="G17" s="7" t="str">
        <f>IFERROR(VLOOKUP(Table8[[#This Row],[Column1]],Onboarding_Progress!A9:E16,4,FALSE),"not onboarded")</f>
        <v>not onboarded</v>
      </c>
      <c r="H17" s="7" t="str">
        <f t="shared" si="0"/>
        <v>On Track</v>
      </c>
    </row>
    <row r="18" spans="1:8" x14ac:dyDescent="0.3">
      <c r="A18" s="7" t="s">
        <v>68</v>
      </c>
      <c r="B18" s="7" t="str">
        <f>VLOOKUP(Table8[[#This Row],[Column1]],Master_Candidates!A13:B29,2,FALSE)</f>
        <v>Aditya Joshi</v>
      </c>
      <c r="C18" s="7" t="str">
        <f>VLOOKUP(Table8[[#This Row],[Column1]],Master_Candidates!A13:C29,3,FALSE)</f>
        <v>Retail Apprentice</v>
      </c>
      <c r="D18" s="7" t="str">
        <f>IFERROR(VLOOKUP(Table8[[#This Row],[Column1]],Interview_Tracker!A13:F29,6,FALSE),"not interviewed")</f>
        <v>On Hold</v>
      </c>
      <c r="E18" s="7" t="str">
        <f>IFERROR(INDEX(Compliance_Documents!$G$2:$G$12,MATCH(A18,Compliance_Documents!$A$2:$A$12,0)),"Not Yet Filed")</f>
        <v>Not Yet Filed</v>
      </c>
      <c r="F18" s="8" t="str">
        <f>IFERROR(INDEX(Onboarding_Progress!$B$2:$B$9,MATCH(A18,Onboarding_Progress!$A$2:$A$9,0)),"")</f>
        <v/>
      </c>
      <c r="G18" s="7" t="str">
        <f>IFERROR(VLOOKUP(Table8[[#This Row],[Column1]],Onboarding_Progress!A10:E17,4,FALSE),"not onboarded")</f>
        <v>not onboarded</v>
      </c>
      <c r="H18" s="7" t="str">
        <f t="shared" si="0"/>
        <v>On Track</v>
      </c>
    </row>
    <row r="19" spans="1:8" x14ac:dyDescent="0.3">
      <c r="A19" s="7" t="s">
        <v>70</v>
      </c>
      <c r="B19" s="7" t="str">
        <f>VLOOKUP(Table8[[#This Row],[Column1]],Master_Candidates!A14:B30,2,FALSE)</f>
        <v>Pooja Desai</v>
      </c>
      <c r="C19" s="7" t="str">
        <f>VLOOKUP(Table8[[#This Row],[Column1]],Master_Candidates!A14:C30,3,FALSE)</f>
        <v>Retail Apprentice</v>
      </c>
      <c r="D19" s="7" t="str">
        <f>IFERROR(VLOOKUP(Table8[[#This Row],[Column1]],Interview_Tracker!A14:F30,6,FALSE),"not interviewed")</f>
        <v>Selected</v>
      </c>
      <c r="E19" s="7" t="str">
        <f>IFERROR(INDEX(Compliance_Documents!$G$2:$G$12,MATCH(A19,Compliance_Documents!$A$2:$A$12,0)),"Not Yet Filed")</f>
        <v>COMPLAINCE PENDING</v>
      </c>
      <c r="F19" s="8" t="str">
        <f>IFERROR(INDEX(Onboarding_Progress!$B$2:$B$9,MATCH(A19,Onboarding_Progress!$A$2:$A$9,0)),"")</f>
        <v/>
      </c>
      <c r="G19" s="7" t="str">
        <f>IFERROR(VLOOKUP(Table8[[#This Row],[Column1]],Onboarding_Progress!A11:E18,4,FALSE),"not onboarded")</f>
        <v>not onboarded</v>
      </c>
      <c r="H19" s="7" t="str">
        <f t="shared" si="0"/>
        <v>Offer Extended - Awaiting Joining</v>
      </c>
    </row>
    <row r="20" spans="1:8" x14ac:dyDescent="0.3">
      <c r="A20" s="7" t="s">
        <v>72</v>
      </c>
      <c r="B20" s="7" t="str">
        <f>VLOOKUP(Table8[[#This Row],[Column1]],Master_Candidates!A15:B31,2,FALSE)</f>
        <v>Karan Bhatia</v>
      </c>
      <c r="C20" s="7" t="str">
        <f>VLOOKUP(Table8[[#This Row],[Column1]],Master_Candidates!A15:C31,3,FALSE)</f>
        <v>Warehouse Associate</v>
      </c>
      <c r="D20" s="7" t="str">
        <f>IFERROR(VLOOKUP(Table8[[#This Row],[Column1]],Interview_Tracker!A15:F31,6,FALSE),"not interviewed")</f>
        <v>Selected</v>
      </c>
      <c r="E20" s="7" t="str">
        <f>IFERROR(INDEX(Compliance_Documents!$G$2:$G$12,MATCH(A20,Compliance_Documents!$A$2:$A$12,0)),"Not Yet Filed")</f>
        <v>COMPLAINT</v>
      </c>
      <c r="F20" s="8">
        <f>IFERROR(INDEX(Onboarding_Progress!$B$2:$B$9,MATCH(A20,Onboarding_Progress!$A$2:$A$9,0)),"")</f>
        <v>46194</v>
      </c>
      <c r="G20" s="7" t="str">
        <f>IFERROR(VLOOKUP(Table8[[#This Row],[Column1]],Onboarding_Progress!A12:E19,4,FALSE),"not onboarded")</f>
        <v>not onboarded</v>
      </c>
      <c r="H20" s="7" t="str">
        <f t="shared" si="0"/>
        <v>On Track</v>
      </c>
    </row>
    <row r="21" spans="1:8" x14ac:dyDescent="0.3">
      <c r="A21" s="7" t="s">
        <v>74</v>
      </c>
      <c r="B21" s="7" t="str">
        <f>VLOOKUP(Table8[[#This Row],[Column1]],Master_Candidates!A16:B32,2,FALSE)</f>
        <v>Nisha Pillai</v>
      </c>
      <c r="C21" s="7" t="str">
        <f>VLOOKUP(Table8[[#This Row],[Column1]],Master_Candidates!A16:C32,3,FALSE)</f>
        <v>Store Associate</v>
      </c>
      <c r="D21" s="7" t="str">
        <f>IFERROR(VLOOKUP(Table8[[#This Row],[Column1]],Interview_Tracker!A16:F32,6,FALSE),"not interviewed")</f>
        <v>Rejected</v>
      </c>
      <c r="E21" s="7" t="str">
        <f>IFERROR(INDEX(Compliance_Documents!$G$2:$G$12,MATCH(A21,Compliance_Documents!$A$2:$A$12,0)),"Not Yet Filed")</f>
        <v>Not Yet Filed</v>
      </c>
      <c r="F21" s="8" t="str">
        <f>IFERROR(INDEX(Onboarding_Progress!$B$2:$B$9,MATCH(A21,Onboarding_Progress!$A$2:$A$9,0)),"")</f>
        <v/>
      </c>
      <c r="G21" s="7" t="str">
        <f>IFERROR(VLOOKUP(Table8[[#This Row],[Column1]],Onboarding_Progress!A13:E20,4,FALSE),"not onboarded")</f>
        <v>not onboarded</v>
      </c>
      <c r="H21" s="7" t="str">
        <f t="shared" si="0"/>
        <v>On Track</v>
      </c>
    </row>
    <row r="22" spans="1:8" x14ac:dyDescent="0.3">
      <c r="A22" s="7" t="s">
        <v>76</v>
      </c>
      <c r="B22" s="7" t="str">
        <f>VLOOKUP(Table8[[#This Row],[Column1]],Master_Candidates!A17:B33,2,FALSE)</f>
        <v>Yash Trivedi</v>
      </c>
      <c r="C22" s="7" t="str">
        <f>VLOOKUP(Table8[[#This Row],[Column1]],Master_Candidates!A17:C33,3,FALSE)</f>
        <v>Retail Apprentice</v>
      </c>
      <c r="D22" s="7" t="str">
        <f>IFERROR(VLOOKUP(Table8[[#This Row],[Column1]],Interview_Tracker!A17:F33,6,FALSE),"not interviewed")</f>
        <v>Selected</v>
      </c>
      <c r="E22" s="7" t="str">
        <f>IFERROR(INDEX(Compliance_Documents!$G$2:$G$12,MATCH(A22,Compliance_Documents!$A$2:$A$12,0)),"Not Yet Filed")</f>
        <v>COMPLAINT</v>
      </c>
      <c r="F22" s="8" t="str">
        <f>IFERROR(INDEX(Onboarding_Progress!$B$2:$B$9,MATCH(A22,Onboarding_Progress!$A$2:$A$9,0)),"")</f>
        <v/>
      </c>
      <c r="G22" s="7" t="str">
        <f>IFERROR(VLOOKUP(Table8[[#This Row],[Column1]],Onboarding_Progress!A14:E21,4,FALSE),"not onboarded")</f>
        <v>not onboarded</v>
      </c>
      <c r="H22" s="7" t="str">
        <f t="shared" si="0"/>
        <v>Offer Extended - Awaiting Joining</v>
      </c>
    </row>
    <row r="23" spans="1:8" x14ac:dyDescent="0.3">
      <c r="A23" s="7" t="s">
        <v>78</v>
      </c>
      <c r="B23" s="7" t="str">
        <f>VLOOKUP(Table8[[#This Row],[Column1]],Master_Candidates!A18:B34,2,FALSE)</f>
        <v>Riya Chawla</v>
      </c>
      <c r="C23" s="7" t="str">
        <f>VLOOKUP(Table8[[#This Row],[Column1]],Master_Candidates!A18:C34,3,FALSE)</f>
        <v>Retail Apprentice</v>
      </c>
      <c r="D23" s="7" t="str">
        <f>IFERROR(VLOOKUP(Table8[[#This Row],[Column1]],Interview_Tracker!A18:F34,6,FALSE),"not interviewed")</f>
        <v>Not Interviewed</v>
      </c>
      <c r="E23" s="7" t="str">
        <f>IFERROR(INDEX(Compliance_Documents!$G$2:$G$12,MATCH(A23,Compliance_Documents!$A$2:$A$12,0)),"Not Yet Filed")</f>
        <v>Not Yet Filed</v>
      </c>
      <c r="F23" s="8" t="str">
        <f>IFERROR(INDEX(Onboarding_Progress!$B$2:$B$9,MATCH(A23,Onboarding_Progress!$A$2:$A$9,0)),"")</f>
        <v/>
      </c>
      <c r="G23" s="7" t="str">
        <f>IFERROR(VLOOKUP(Table8[[#This Row],[Column1]],Onboarding_Progress!A15:E22,4,FALSE),"not onboarded")</f>
        <v>not onboarded</v>
      </c>
      <c r="H23" s="7" t="str">
        <f t="shared" si="0"/>
        <v>On Track</v>
      </c>
    </row>
    <row r="24" spans="1:8" x14ac:dyDescent="0.3">
      <c r="A24" s="16" t="s">
        <v>80</v>
      </c>
      <c r="B24" s="7" t="str">
        <f>VLOOKUP(Table8[[#This Row],[Column1]],Master_Candidates!A19:B35,2,FALSE)</f>
        <v>Dev Anand</v>
      </c>
      <c r="C24" s="7" t="str">
        <f>VLOOKUP(Table8[[#This Row],[Column1]],Master_Candidates!A19:C35,3,FALSE)</f>
        <v>Store Associate</v>
      </c>
      <c r="D24" s="7" t="str">
        <f>IFERROR(VLOOKUP(Table8[[#This Row],[Column1]],Interview_Tracker!A19:F35,6,FALSE),"not interviewed")</f>
        <v>Not Interviewed</v>
      </c>
      <c r="E24" s="16" t="str">
        <f>IFERROR(INDEX(Compliance_Documents!$G$2:$G$12,MATCH(A24,Compliance_Documents!$A$2:$A$12,0)),"Not Yet Filed")</f>
        <v>Not Yet Filed</v>
      </c>
      <c r="F24" s="17" t="str">
        <f>IFERROR(INDEX(Onboarding_Progress!$B$2:$B$9,MATCH(A24,Onboarding_Progress!$A$2:$A$9,0)),"")</f>
        <v/>
      </c>
      <c r="G24" s="7" t="str">
        <f>IFERROR(VLOOKUP(Table8[[#This Row],[Column1]],Onboarding_Progress!A16:E23,4,FALSE),"not onboarded")</f>
        <v>not onboarded</v>
      </c>
      <c r="H24" s="7" t="str">
        <f t="shared" si="0"/>
        <v>On Track</v>
      </c>
    </row>
  </sheetData>
  <conditionalFormatting sqref="H7:H24">
    <cfRule type="expression" dxfId="4" priority="2">
      <formula>H7="On Track"</formula>
    </cfRule>
    <cfRule type="expression" dxfId="3" priority="3">
      <formula>H7="Compliance Pending"</formula>
    </cfRule>
    <cfRule type="expression" dxfId="2" priority="4">
      <formula>H7="Induction Overdue"</formula>
    </cfRule>
    <cfRule type="expression" dxfId="1" priority="5">
      <formula>H7="Offer Extended - Awaiting Joining"</formula>
    </cfRule>
    <cfRule type="expression" dxfId="0" priority="6">
      <formula>H7="Awaiting Interview"</formula>
    </cfRule>
  </conditionalFormatting>
  <pageMargins left="0.75" right="0.75" top="1" bottom="1" header="0.511811023622047" footer="0.511811023622047"/>
  <pageSetup paperSize="9" orientation="portrait" horizontalDpi="300" verticalDpi="3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Master_Candidates</vt:lpstr>
      <vt:lpstr>Interview_Tracker</vt:lpstr>
      <vt:lpstr>Compliance_Documents</vt:lpstr>
      <vt:lpstr>Onboarding_Progress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jhanavi ms</cp:lastModifiedBy>
  <cp:revision>0</cp:revision>
  <dcterms:created xsi:type="dcterms:W3CDTF">2026-09-04T06:26:34Z</dcterms:created>
  <dcterms:modified xsi:type="dcterms:W3CDTF">2026-09-05T05:22:30Z</dcterms:modified>
  <dc:language>en-US</dc:language>
</cp:coreProperties>
</file>